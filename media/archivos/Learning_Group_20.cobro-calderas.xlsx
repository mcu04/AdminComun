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e150690208f91/Documents/ADMINISTRACIÒN DE CONDOMINIO O EDIFICIOS/Learning Group Curso Administraciòn Edificio y Condominio/"/>
    </mc:Choice>
  </mc:AlternateContent>
  <xr:revisionPtr revIDLastSave="0" documentId="8_{BAD6B225-C7CA-490E-A179-9CFF28DD9165}" xr6:coauthVersionLast="47" xr6:coauthVersionMax="47" xr10:uidLastSave="{00000000-0000-0000-0000-000000000000}"/>
  <bookViews>
    <workbookView xWindow="-110" yWindow="-110" windowWidth="22620" windowHeight="13500" activeTab="2" xr2:uid="{FC8854F0-5A33-4E4F-8673-FF6E49CB5205}"/>
  </bookViews>
  <sheets>
    <sheet name="CASO 1" sheetId="1" r:id="rId1"/>
    <sheet name="CASO 2" sheetId="2" r:id="rId2"/>
    <sheet name="GTO COMÚ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 s="1"/>
  <c r="D8" i="2"/>
  <c r="D9" i="2" s="1"/>
  <c r="E7" i="1"/>
  <c r="E8" i="1" s="1"/>
  <c r="M11" i="4" s="1"/>
  <c r="A5" i="2"/>
  <c r="A4" i="2"/>
  <c r="B4" i="1"/>
  <c r="I12" i="4"/>
  <c r="I11" i="4"/>
  <c r="K12" i="4"/>
  <c r="K11" i="4"/>
  <c r="J12" i="4"/>
  <c r="J11" i="4"/>
  <c r="B32" i="4"/>
  <c r="A19" i="4"/>
  <c r="A23" i="4" s="1"/>
  <c r="A27" i="4" s="1"/>
  <c r="A31" i="4" s="1"/>
  <c r="A18" i="4"/>
  <c r="A22" i="4" s="1"/>
  <c r="A26" i="4" s="1"/>
  <c r="A30" i="4" s="1"/>
  <c r="A17" i="4"/>
  <c r="A21" i="4" s="1"/>
  <c r="A25" i="4" s="1"/>
  <c r="A29" i="4" s="1"/>
  <c r="A16" i="4"/>
  <c r="A20" i="4" s="1"/>
  <c r="A24" i="4" s="1"/>
  <c r="A28" i="4" s="1"/>
  <c r="C10" i="1"/>
  <c r="L9" i="2"/>
  <c r="H9" i="2"/>
  <c r="B33" i="2"/>
  <c r="E32" i="2"/>
  <c r="M32" i="2" s="1"/>
  <c r="E31" i="2"/>
  <c r="M31" i="2" s="1"/>
  <c r="E30" i="2"/>
  <c r="M30" i="2" s="1"/>
  <c r="E29" i="2"/>
  <c r="M29" i="2" s="1"/>
  <c r="E28" i="2"/>
  <c r="M28" i="2" s="1"/>
  <c r="E27" i="2"/>
  <c r="M27" i="2" s="1"/>
  <c r="E26" i="2"/>
  <c r="M26" i="2" s="1"/>
  <c r="E25" i="2"/>
  <c r="M25" i="2" s="1"/>
  <c r="E24" i="2"/>
  <c r="M24" i="2" s="1"/>
  <c r="E23" i="2"/>
  <c r="M23" i="2" s="1"/>
  <c r="E22" i="2"/>
  <c r="M22" i="2" s="1"/>
  <c r="E21" i="2"/>
  <c r="M21" i="2" s="1"/>
  <c r="L20" i="2"/>
  <c r="L24" i="2" s="1"/>
  <c r="L28" i="2" s="1"/>
  <c r="L32" i="2" s="1"/>
  <c r="E20" i="2"/>
  <c r="M20" i="2" s="1"/>
  <c r="A20" i="2"/>
  <c r="A24" i="2" s="1"/>
  <c r="A28" i="2" s="1"/>
  <c r="A32" i="2" s="1"/>
  <c r="L19" i="2"/>
  <c r="L23" i="2" s="1"/>
  <c r="L27" i="2" s="1"/>
  <c r="L31" i="2" s="1"/>
  <c r="E19" i="2"/>
  <c r="M19" i="2" s="1"/>
  <c r="A19" i="2"/>
  <c r="A23" i="2" s="1"/>
  <c r="A27" i="2" s="1"/>
  <c r="A31" i="2" s="1"/>
  <c r="L18" i="2"/>
  <c r="L22" i="2" s="1"/>
  <c r="L26" i="2" s="1"/>
  <c r="L30" i="2" s="1"/>
  <c r="E18" i="2"/>
  <c r="M18" i="2" s="1"/>
  <c r="A18" i="2"/>
  <c r="A22" i="2" s="1"/>
  <c r="A26" i="2" s="1"/>
  <c r="A30" i="2" s="1"/>
  <c r="L17" i="2"/>
  <c r="L21" i="2" s="1"/>
  <c r="L25" i="2" s="1"/>
  <c r="L29" i="2" s="1"/>
  <c r="E17" i="2"/>
  <c r="M17" i="2" s="1"/>
  <c r="A17" i="2"/>
  <c r="A21" i="2" s="1"/>
  <c r="A25" i="2" s="1"/>
  <c r="A29" i="2" s="1"/>
  <c r="E16" i="2"/>
  <c r="M16" i="2" s="1"/>
  <c r="E15" i="2"/>
  <c r="M15" i="2" s="1"/>
  <c r="E14" i="2"/>
  <c r="M14" i="2" s="1"/>
  <c r="E13" i="2"/>
  <c r="M13" i="2" s="1"/>
  <c r="C9" i="2"/>
  <c r="N20" i="1"/>
  <c r="N21" i="1"/>
  <c r="N27" i="1"/>
  <c r="N28" i="1"/>
  <c r="N29" i="1"/>
  <c r="M21" i="1"/>
  <c r="M25" i="1" s="1"/>
  <c r="M29" i="1" s="1"/>
  <c r="M33" i="1" s="1"/>
  <c r="M20" i="1"/>
  <c r="M24" i="1" s="1"/>
  <c r="M28" i="1" s="1"/>
  <c r="M32" i="1" s="1"/>
  <c r="M19" i="1"/>
  <c r="M23" i="1" s="1"/>
  <c r="M27" i="1" s="1"/>
  <c r="M31" i="1" s="1"/>
  <c r="M18" i="1"/>
  <c r="M22" i="1" s="1"/>
  <c r="M26" i="1" s="1"/>
  <c r="M30" i="1" s="1"/>
  <c r="D8" i="1"/>
  <c r="L11" i="4" s="1"/>
  <c r="F15" i="1"/>
  <c r="N15" i="1" s="1"/>
  <c r="F16" i="1"/>
  <c r="N16" i="1" s="1"/>
  <c r="F17" i="1"/>
  <c r="N17" i="1" s="1"/>
  <c r="F18" i="1"/>
  <c r="N18" i="1" s="1"/>
  <c r="F19" i="1"/>
  <c r="N19" i="1" s="1"/>
  <c r="F20" i="1"/>
  <c r="F21" i="1"/>
  <c r="F22" i="1"/>
  <c r="N22" i="1" s="1"/>
  <c r="F23" i="1"/>
  <c r="N23" i="1" s="1"/>
  <c r="F24" i="1"/>
  <c r="N24" i="1" s="1"/>
  <c r="F25" i="1"/>
  <c r="N25" i="1" s="1"/>
  <c r="F26" i="1"/>
  <c r="N26" i="1" s="1"/>
  <c r="F27" i="1"/>
  <c r="F28" i="1"/>
  <c r="F29" i="1"/>
  <c r="F30" i="1"/>
  <c r="N30" i="1" s="1"/>
  <c r="F31" i="1"/>
  <c r="N31" i="1" s="1"/>
  <c r="F32" i="1"/>
  <c r="N32" i="1" s="1"/>
  <c r="F33" i="1"/>
  <c r="N33" i="1" s="1"/>
  <c r="F14" i="1"/>
  <c r="N14" i="1" s="1"/>
  <c r="C34" i="1"/>
  <c r="B19" i="1"/>
  <c r="B23" i="1" s="1"/>
  <c r="B27" i="1" s="1"/>
  <c r="B31" i="1" s="1"/>
  <c r="B20" i="1"/>
  <c r="B24" i="1" s="1"/>
  <c r="B28" i="1" s="1"/>
  <c r="B32" i="1" s="1"/>
  <c r="B21" i="1"/>
  <c r="B25" i="1"/>
  <c r="B29" i="1" s="1"/>
  <c r="B33" i="1" s="1"/>
  <c r="B18" i="1"/>
  <c r="B22" i="1" s="1"/>
  <c r="B26" i="1" s="1"/>
  <c r="B30" i="1" s="1"/>
  <c r="D9" i="1"/>
  <c r="L12" i="4" s="1"/>
  <c r="E9" i="1" l="1"/>
  <c r="M12" i="4" s="1"/>
  <c r="M13" i="4" s="1"/>
  <c r="M9" i="2"/>
  <c r="G21" i="2" s="1"/>
  <c r="N9" i="2"/>
  <c r="I12" i="2" s="1"/>
  <c r="G16" i="2" s="1"/>
  <c r="I13" i="4"/>
  <c r="L13" i="4"/>
  <c r="M33" i="2"/>
  <c r="E33" i="2"/>
  <c r="I13" i="2" s="1"/>
  <c r="N34" i="1"/>
  <c r="F34" i="1"/>
  <c r="J14" i="1" s="1"/>
  <c r="H18" i="1" s="1"/>
  <c r="D10" i="1"/>
  <c r="E10" i="1" l="1"/>
  <c r="J13" i="1" s="1"/>
  <c r="H15" i="1" s="1"/>
  <c r="H22" i="1"/>
  <c r="D8" i="4"/>
  <c r="A6" i="4"/>
  <c r="I14" i="2"/>
  <c r="N31" i="2" s="1"/>
  <c r="G17" i="2"/>
  <c r="G14" i="2"/>
  <c r="H17" i="1" l="1"/>
  <c r="J15" i="1"/>
  <c r="C15" i="4"/>
  <c r="D15" i="4" s="1"/>
  <c r="C16" i="4"/>
  <c r="D16" i="4" s="1"/>
  <c r="C21" i="4"/>
  <c r="D21" i="4" s="1"/>
  <c r="C12" i="4"/>
  <c r="C26" i="4"/>
  <c r="D26" i="4" s="1"/>
  <c r="C13" i="4"/>
  <c r="D13" i="4" s="1"/>
  <c r="C14" i="4"/>
  <c r="D14" i="4" s="1"/>
  <c r="C18" i="4"/>
  <c r="D18" i="4" s="1"/>
  <c r="C30" i="4"/>
  <c r="D30" i="4" s="1"/>
  <c r="C25" i="4"/>
  <c r="D25" i="4" s="1"/>
  <c r="C28" i="4"/>
  <c r="D28" i="4" s="1"/>
  <c r="C17" i="4"/>
  <c r="D17" i="4" s="1"/>
  <c r="C27" i="4"/>
  <c r="D27" i="4" s="1"/>
  <c r="C24" i="4"/>
  <c r="D24" i="4" s="1"/>
  <c r="C31" i="4"/>
  <c r="D31" i="4" s="1"/>
  <c r="C22" i="4"/>
  <c r="D22" i="4" s="1"/>
  <c r="C23" i="4"/>
  <c r="D23" i="4" s="1"/>
  <c r="C29" i="4"/>
  <c r="D29" i="4" s="1"/>
  <c r="C20" i="4"/>
  <c r="D20" i="4" s="1"/>
  <c r="C19" i="4"/>
  <c r="D19" i="4" s="1"/>
  <c r="N27" i="2"/>
  <c r="O27" i="2" s="1"/>
  <c r="N14" i="2"/>
  <c r="O14" i="2" s="1"/>
  <c r="N29" i="2"/>
  <c r="O29" i="2" s="1"/>
  <c r="N25" i="2"/>
  <c r="N17" i="2"/>
  <c r="O17" i="2" s="1"/>
  <c r="N30" i="2"/>
  <c r="O30" i="2" s="1"/>
  <c r="N22" i="2"/>
  <c r="O22" i="2" s="1"/>
  <c r="N24" i="2"/>
  <c r="O24" i="2" s="1"/>
  <c r="N21" i="2"/>
  <c r="O21" i="2" s="1"/>
  <c r="N18" i="2"/>
  <c r="O18" i="2" s="1"/>
  <c r="N20" i="2"/>
  <c r="O20" i="2" s="1"/>
  <c r="N13" i="2"/>
  <c r="O13" i="2" s="1"/>
  <c r="N26" i="2"/>
  <c r="O26" i="2" s="1"/>
  <c r="N19" i="2"/>
  <c r="O19" i="2" s="1"/>
  <c r="N15" i="2"/>
  <c r="O15" i="2" s="1"/>
  <c r="N16" i="2"/>
  <c r="O16" i="2" s="1"/>
  <c r="N28" i="2"/>
  <c r="O28" i="2" s="1"/>
  <c r="N32" i="2"/>
  <c r="O32" i="2" s="1"/>
  <c r="N23" i="2"/>
  <c r="O23" i="2" s="1"/>
  <c r="H16" i="2"/>
  <c r="O31" i="2"/>
  <c r="G19" i="2"/>
  <c r="O25" i="2"/>
  <c r="H20" i="1"/>
  <c r="O16" i="1"/>
  <c r="O33" i="1"/>
  <c r="P33" i="1" s="1"/>
  <c r="I17" i="1"/>
  <c r="O22" i="1"/>
  <c r="P22" i="1" s="1"/>
  <c r="O24" i="1"/>
  <c r="P24" i="1" s="1"/>
  <c r="O17" i="1"/>
  <c r="P17" i="1" s="1"/>
  <c r="O30" i="1"/>
  <c r="P30" i="1" s="1"/>
  <c r="O32" i="1"/>
  <c r="O25" i="1"/>
  <c r="P25" i="1" s="1"/>
  <c r="O26" i="1"/>
  <c r="P26" i="1" s="1"/>
  <c r="O31" i="1"/>
  <c r="P31" i="1" s="1"/>
  <c r="O14" i="1"/>
  <c r="P14" i="1" s="1"/>
  <c r="O19" i="1"/>
  <c r="P19" i="1" s="1"/>
  <c r="P32" i="1"/>
  <c r="O29" i="1"/>
  <c r="P29" i="1" s="1"/>
  <c r="O23" i="1"/>
  <c r="P23" i="1"/>
  <c r="P16" i="1"/>
  <c r="O27" i="1"/>
  <c r="P27" i="1" s="1"/>
  <c r="O28" i="1"/>
  <c r="P28" i="1" s="1"/>
  <c r="O20" i="1"/>
  <c r="P20" i="1" s="1"/>
  <c r="O15" i="1"/>
  <c r="P15" i="1" s="1"/>
  <c r="O21" i="1"/>
  <c r="P21" i="1" s="1"/>
  <c r="O18" i="1"/>
  <c r="P18" i="1" s="1"/>
  <c r="D12" i="4" l="1"/>
  <c r="C32" i="4"/>
  <c r="N33" i="2"/>
  <c r="O34" i="1"/>
</calcChain>
</file>

<file path=xl/sharedStrings.xml><?xml version="1.0" encoding="utf-8"?>
<sst xmlns="http://schemas.openxmlformats.org/spreadsheetml/2006/main" count="61" uniqueCount="30">
  <si>
    <t>GAS</t>
  </si>
  <si>
    <t>AGUA</t>
  </si>
  <si>
    <t>TOTAL</t>
  </si>
  <si>
    <t>PASO 1.- REGLAMENTO</t>
  </si>
  <si>
    <t>PASO 2.- TOTAL DE BOLETAS</t>
  </si>
  <si>
    <t>3.- PRORRATEOS Y LECTURAS</t>
  </si>
  <si>
    <t>DEPTO</t>
  </si>
  <si>
    <t>PRORRATEO</t>
  </si>
  <si>
    <t>ANTERIOR</t>
  </si>
  <si>
    <t>ACTUAL</t>
  </si>
  <si>
    <t>CONSUMO</t>
  </si>
  <si>
    <t>4.- CÁLCULO M3</t>
  </si>
  <si>
    <t>TOTAL A COBRAR</t>
  </si>
  <si>
    <t>TOTAL CONSUMO</t>
  </si>
  <si>
    <t>Se multiplica cada consumo individual por el valor del m3</t>
  </si>
  <si>
    <t>5.- COBRO</t>
  </si>
  <si>
    <t>COBRO IND.</t>
  </si>
  <si>
    <t>CASO 1. COBRO MISMO PORCENTAJE</t>
  </si>
  <si>
    <t>CASO 2. COBRO PORCENTAJE DIFERENCIADO</t>
  </si>
  <si>
    <t>GTO COM.</t>
  </si>
  <si>
    <t>COB. IND.</t>
  </si>
  <si>
    <t>2.- Se multiplica cada consumo individual por el valor del m3</t>
  </si>
  <si>
    <t>5.- COBRO INDIVIDUAL</t>
  </si>
  <si>
    <t>COBRAR BOLETAS EN GASTO COMÚN</t>
  </si>
  <si>
    <t>CASO</t>
  </si>
  <si>
    <t>GTO COMÚN</t>
  </si>
  <si>
    <t>PORCENTAJE</t>
  </si>
  <si>
    <t>VALOR</t>
  </si>
  <si>
    <t>PASO 2.- TOTAL A PRORRATEAR:</t>
  </si>
  <si>
    <t>PASO 3.- PRORRATEOS Y LECTURAS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</si>
</sst>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.0"/>
    <numFmt numFmtId="165" formatCode="0.000"/>
    <numFmt numFmtId="166" formatCode="_ * #,##0.0_ ;_ * \-#,##0.0_ ;_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41" fontId="0" fillId="2" borderId="1" xfId="1" applyFont="1" applyFill="1" applyBorder="1"/>
    <xf numFmtId="41" fontId="2" fillId="2" borderId="1" xfId="1" applyFont="1" applyFill="1" applyBorder="1"/>
    <xf numFmtId="0" fontId="2" fillId="2" borderId="1" xfId="0" applyFont="1" applyFill="1" applyBorder="1" applyAlignment="1">
      <alignment horizontal="center"/>
    </xf>
    <xf numFmtId="0" fontId="0" fillId="2" borderId="4" xfId="0" applyFill="1" applyBorder="1"/>
    <xf numFmtId="41" fontId="0" fillId="2" borderId="5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0" fillId="2" borderId="0" xfId="0" applyNumberFormat="1" applyFill="1"/>
    <xf numFmtId="41" fontId="0" fillId="2" borderId="6" xfId="1" applyFont="1" applyFill="1" applyBorder="1"/>
    <xf numFmtId="0" fontId="0" fillId="2" borderId="8" xfId="0" applyFill="1" applyBorder="1"/>
    <xf numFmtId="166" fontId="0" fillId="2" borderId="9" xfId="1" applyNumberFormat="1" applyFont="1" applyFill="1" applyBorder="1"/>
    <xf numFmtId="41" fontId="0" fillId="2" borderId="1" xfId="1" applyFont="1" applyFill="1" applyBorder="1" applyAlignment="1">
      <alignment horizontal="center"/>
    </xf>
    <xf numFmtId="0" fontId="3" fillId="2" borderId="0" xfId="0" applyFont="1" applyFill="1"/>
    <xf numFmtId="0" fontId="2" fillId="3" borderId="1" xfId="0" applyFont="1" applyFill="1" applyBorder="1"/>
    <xf numFmtId="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0" fillId="2" borderId="7" xfId="0" applyFill="1" applyBorder="1" applyAlignment="1">
      <alignment horizontal="left" indent="1"/>
    </xf>
    <xf numFmtId="41" fontId="2" fillId="2" borderId="1" xfId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6" fontId="2" fillId="2" borderId="9" xfId="1" applyNumberFormat="1" applyFont="1" applyFill="1" applyBorder="1"/>
    <xf numFmtId="41" fontId="2" fillId="2" borderId="8" xfId="1" applyFont="1" applyFill="1" applyBorder="1" applyAlignment="1">
      <alignment horizontal="center"/>
    </xf>
    <xf numFmtId="41" fontId="2" fillId="2" borderId="0" xfId="1" applyFont="1" applyFill="1" applyAlignment="1">
      <alignment horizontal="center"/>
    </xf>
    <xf numFmtId="0" fontId="0" fillId="2" borderId="0" xfId="0" applyFill="1" applyAlignment="1">
      <alignment horizontal="left" indent="1"/>
    </xf>
    <xf numFmtId="41" fontId="2" fillId="2" borderId="0" xfId="1" applyFont="1" applyFill="1" applyBorder="1"/>
    <xf numFmtId="0" fontId="2" fillId="2" borderId="1" xfId="0" applyFont="1" applyFill="1" applyBorder="1" applyAlignment="1">
      <alignment horizontal="left" indent="1"/>
    </xf>
    <xf numFmtId="0" fontId="2" fillId="2" borderId="0" xfId="0" applyFont="1" applyFill="1" applyAlignment="1">
      <alignment horizontal="right" indent="1"/>
    </xf>
    <xf numFmtId="164" fontId="2" fillId="4" borderId="1" xfId="0" applyNumberFormat="1" applyFont="1" applyFill="1" applyBorder="1" applyAlignment="1">
      <alignment horizontal="center"/>
    </xf>
    <xf numFmtId="41" fontId="2" fillId="5" borderId="1" xfId="1" applyFont="1" applyFill="1" applyBorder="1"/>
    <xf numFmtId="41" fontId="0" fillId="5" borderId="5" xfId="0" applyNumberFormat="1" applyFill="1" applyBorder="1"/>
    <xf numFmtId="41" fontId="0" fillId="4" borderId="6" xfId="1" applyFont="1" applyFill="1" applyBorder="1"/>
    <xf numFmtId="41" fontId="2" fillId="5" borderId="1" xfId="1" applyFont="1" applyFill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41" fontId="2" fillId="2" borderId="1" xfId="0" applyNumberFormat="1" applyFont="1" applyFill="1" applyBorder="1" applyAlignment="1">
      <alignment horizontal="center"/>
    </xf>
    <xf numFmtId="41" fontId="0" fillId="6" borderId="1" xfId="1" applyFont="1" applyFill="1" applyBorder="1"/>
    <xf numFmtId="41" fontId="0" fillId="7" borderId="1" xfId="1" applyFont="1" applyFill="1" applyBorder="1"/>
    <xf numFmtId="41" fontId="0" fillId="3" borderId="1" xfId="1" applyFon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41" fontId="0" fillId="4" borderId="1" xfId="1" applyFont="1" applyFill="1" applyBorder="1"/>
    <xf numFmtId="0" fontId="0" fillId="4" borderId="0" xfId="0" applyFill="1" applyAlignment="1">
      <alignment horizontal="left" indent="1"/>
    </xf>
    <xf numFmtId="0" fontId="0" fillId="4" borderId="0" xfId="0" applyFill="1"/>
    <xf numFmtId="41" fontId="0" fillId="2" borderId="0" xfId="1" applyFont="1" applyFill="1"/>
    <xf numFmtId="0" fontId="0" fillId="5" borderId="1" xfId="0" applyFill="1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1E07-6C3A-4AB6-AEF3-B2B0FA55B39E}">
  <dimension ref="B1:P34"/>
  <sheetViews>
    <sheetView zoomScale="140" zoomScaleNormal="140" workbookViewId="0">
      <selection activeCell="E11" sqref="E11"/>
    </sheetView>
  </sheetViews>
  <sheetFormatPr baseColWidth="10" defaultColWidth="11.54296875" defaultRowHeight="14.5" x14ac:dyDescent="0.35"/>
  <cols>
    <col min="1" max="16384" width="11.54296875" style="2"/>
  </cols>
  <sheetData>
    <row r="1" spans="2:16" x14ac:dyDescent="0.35">
      <c r="B1" s="1" t="s">
        <v>17</v>
      </c>
    </row>
    <row r="3" spans="2:16" x14ac:dyDescent="0.35">
      <c r="B3" s="17" t="s">
        <v>3</v>
      </c>
    </row>
    <row r="4" spans="2:16" x14ac:dyDescent="0.35">
      <c r="B4" s="46" t="str">
        <f>"El reglamento de copropiedad establece que el "&amp;D7*100&amp;"% del gas y agua utilizado en las calderas se cobrará en el gasto común, y el "&amp;E7*100&amp;"% se cobrará según el consumo individual."</f>
        <v>El reglamento de copropiedad establece que el 30% del gas y agua utilizado en las calderas se cobrará en el gasto común, y el 70% se cobrará según el consumo individual.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6" spans="2:16" x14ac:dyDescent="0.35">
      <c r="B6" s="17" t="s">
        <v>4</v>
      </c>
    </row>
    <row r="7" spans="2:16" x14ac:dyDescent="0.35">
      <c r="B7" s="18"/>
      <c r="C7" s="19">
        <v>1</v>
      </c>
      <c r="D7" s="52">
        <v>0.3</v>
      </c>
      <c r="E7" s="19">
        <f>1-D7</f>
        <v>0.7</v>
      </c>
    </row>
    <row r="8" spans="2:16" x14ac:dyDescent="0.35">
      <c r="B8" s="3" t="s">
        <v>0</v>
      </c>
      <c r="C8" s="4">
        <v>1500000</v>
      </c>
      <c r="D8" s="4">
        <f>C8*D7</f>
        <v>450000</v>
      </c>
      <c r="E8" s="4">
        <f>C8*E7</f>
        <v>1050000</v>
      </c>
    </row>
    <row r="9" spans="2:16" x14ac:dyDescent="0.35">
      <c r="B9" s="3" t="s">
        <v>1</v>
      </c>
      <c r="C9" s="4">
        <v>500000</v>
      </c>
      <c r="D9" s="4">
        <f>C9*D7</f>
        <v>150000</v>
      </c>
      <c r="E9" s="4">
        <f>C9*E7</f>
        <v>350000</v>
      </c>
    </row>
    <row r="10" spans="2:16" x14ac:dyDescent="0.35">
      <c r="B10" s="3" t="s">
        <v>2</v>
      </c>
      <c r="C10" s="5">
        <f>SUM(C8:C9)</f>
        <v>2000000</v>
      </c>
      <c r="D10" s="5">
        <f t="shared" ref="D10:E10" si="0">SUM(D8:D9)</f>
        <v>600000</v>
      </c>
      <c r="E10" s="34">
        <f t="shared" si="0"/>
        <v>1400000</v>
      </c>
    </row>
    <row r="12" spans="2:16" x14ac:dyDescent="0.35">
      <c r="B12" s="17" t="s">
        <v>29</v>
      </c>
      <c r="H12" s="17" t="s">
        <v>11</v>
      </c>
      <c r="M12" s="17" t="s">
        <v>15</v>
      </c>
    </row>
    <row r="13" spans="2:16" x14ac:dyDescent="0.35">
      <c r="B13" s="20" t="s">
        <v>6</v>
      </c>
      <c r="C13" s="20" t="s">
        <v>7</v>
      </c>
      <c r="D13" s="20" t="s">
        <v>8</v>
      </c>
      <c r="E13" s="20" t="s">
        <v>9</v>
      </c>
      <c r="F13" s="20" t="s">
        <v>10</v>
      </c>
      <c r="H13" s="21" t="s">
        <v>12</v>
      </c>
      <c r="I13" s="7"/>
      <c r="J13" s="35">
        <f>E10</f>
        <v>1400000</v>
      </c>
      <c r="M13" s="20" t="s">
        <v>6</v>
      </c>
      <c r="N13" s="20" t="s">
        <v>10</v>
      </c>
      <c r="O13" s="18" t="s">
        <v>16</v>
      </c>
    </row>
    <row r="14" spans="2:16" x14ac:dyDescent="0.35">
      <c r="B14" s="9">
        <v>101</v>
      </c>
      <c r="C14" s="10">
        <v>0.06</v>
      </c>
      <c r="D14" s="11">
        <v>26</v>
      </c>
      <c r="E14" s="11">
        <v>35</v>
      </c>
      <c r="F14" s="11">
        <f>E14-D14</f>
        <v>9</v>
      </c>
      <c r="G14" s="12"/>
      <c r="H14" s="22" t="s">
        <v>13</v>
      </c>
      <c r="J14" s="36">
        <f>F34</f>
        <v>169</v>
      </c>
      <c r="M14" s="9">
        <v>101</v>
      </c>
      <c r="N14" s="11">
        <f>F14</f>
        <v>9</v>
      </c>
      <c r="O14" s="4">
        <f>N14*$J$15</f>
        <v>74556.213017751477</v>
      </c>
      <c r="P14" s="29" t="str">
        <f>TEXT(N14,"0,0")&amp;" x "&amp;TEXT($J$15,"0.000,0")&amp;" = "&amp;TEXT(O14,"0.000")</f>
        <v>9,0 x 8.284,0 = 74.556</v>
      </c>
    </row>
    <row r="15" spans="2:16" x14ac:dyDescent="0.35">
      <c r="B15" s="9">
        <v>102</v>
      </c>
      <c r="C15" s="10">
        <v>0.04</v>
      </c>
      <c r="D15" s="11">
        <v>19</v>
      </c>
      <c r="E15" s="11">
        <v>32</v>
      </c>
      <c r="F15" s="11">
        <f t="shared" ref="F15:F33" si="1">E15-D15</f>
        <v>13</v>
      </c>
      <c r="H15" s="23" t="str">
        <f>"M3 = "&amp;TEXT(J13,"0.000.000")&amp;"/"&amp;J14</f>
        <v>M3 = 1.400.000/169</v>
      </c>
      <c r="I15" s="14"/>
      <c r="J15" s="26">
        <f>J13/J14</f>
        <v>8284.0236686390526</v>
      </c>
      <c r="M15" s="9">
        <v>102</v>
      </c>
      <c r="N15" s="11">
        <f t="shared" ref="N15:N33" si="2">F15</f>
        <v>13</v>
      </c>
      <c r="O15" s="4">
        <f t="shared" ref="O15:O33" si="3">N15*$J$15</f>
        <v>107692.30769230769</v>
      </c>
      <c r="P15" s="29" t="str">
        <f t="shared" ref="P15:P33" si="4">TEXT(N15,"0,0")&amp;" x "&amp;TEXT($J$15,"0.000,0")&amp;" = "&amp;TEXT(O15,"0.000")</f>
        <v>13,0 x 8.284,0 = 107.692</v>
      </c>
    </row>
    <row r="16" spans="2:16" x14ac:dyDescent="0.35">
      <c r="B16" s="9">
        <v>103</v>
      </c>
      <c r="C16" s="10">
        <v>6.9999999999999993E-2</v>
      </c>
      <c r="D16" s="11">
        <v>30</v>
      </c>
      <c r="E16" s="11">
        <v>38</v>
      </c>
      <c r="F16" s="11">
        <f t="shared" si="1"/>
        <v>8</v>
      </c>
      <c r="M16" s="9">
        <v>103</v>
      </c>
      <c r="N16" s="11">
        <f t="shared" si="2"/>
        <v>8</v>
      </c>
      <c r="O16" s="4">
        <f t="shared" si="3"/>
        <v>66272.189349112421</v>
      </c>
      <c r="P16" s="29" t="str">
        <f t="shared" si="4"/>
        <v>8,0 x 8.284,0 = 66.272</v>
      </c>
    </row>
    <row r="17" spans="2:16" x14ac:dyDescent="0.35">
      <c r="B17" s="9">
        <v>104</v>
      </c>
      <c r="C17" s="10">
        <v>0.03</v>
      </c>
      <c r="D17" s="11">
        <v>14</v>
      </c>
      <c r="E17" s="11">
        <v>25</v>
      </c>
      <c r="F17" s="11">
        <f t="shared" si="1"/>
        <v>11</v>
      </c>
      <c r="H17" s="27">
        <f>E10</f>
        <v>1400000</v>
      </c>
      <c r="I17" s="53" t="str">
        <f>"= "&amp;TEXT(J15,"0.000,0")</f>
        <v>= 8.284,0</v>
      </c>
      <c r="M17" s="9">
        <v>104</v>
      </c>
      <c r="N17" s="11">
        <f t="shared" si="2"/>
        <v>11</v>
      </c>
      <c r="O17" s="4">
        <f t="shared" si="3"/>
        <v>91124.260355029575</v>
      </c>
      <c r="P17" s="29" t="str">
        <f t="shared" si="4"/>
        <v>11,0 x 8.284,0 = 91.124</v>
      </c>
    </row>
    <row r="18" spans="2:16" x14ac:dyDescent="0.35">
      <c r="B18" s="9">
        <f>B14+100</f>
        <v>201</v>
      </c>
      <c r="C18" s="10">
        <v>0.06</v>
      </c>
      <c r="D18" s="11">
        <v>42</v>
      </c>
      <c r="E18" s="11">
        <v>43</v>
      </c>
      <c r="F18" s="11">
        <f t="shared" si="1"/>
        <v>1</v>
      </c>
      <c r="H18" s="28">
        <f>J14</f>
        <v>169</v>
      </c>
      <c r="I18" s="53"/>
      <c r="M18" s="9">
        <f>M14+100</f>
        <v>201</v>
      </c>
      <c r="N18" s="11">
        <f t="shared" si="2"/>
        <v>1</v>
      </c>
      <c r="O18" s="4">
        <f t="shared" si="3"/>
        <v>8284.0236686390526</v>
      </c>
      <c r="P18" s="29" t="str">
        <f t="shared" si="4"/>
        <v>1,0 x 8.284,0 = 8.284</v>
      </c>
    </row>
    <row r="19" spans="2:16" x14ac:dyDescent="0.35">
      <c r="B19" s="9">
        <f t="shared" ref="B19:B33" si="5">B15+100</f>
        <v>202</v>
      </c>
      <c r="C19" s="10">
        <v>0.04</v>
      </c>
      <c r="D19" s="11">
        <v>23</v>
      </c>
      <c r="E19" s="11">
        <v>33</v>
      </c>
      <c r="F19" s="11">
        <f t="shared" si="1"/>
        <v>10</v>
      </c>
      <c r="M19" s="9">
        <f t="shared" ref="M19:M33" si="6">M15+100</f>
        <v>202</v>
      </c>
      <c r="N19" s="11">
        <f t="shared" si="2"/>
        <v>10</v>
      </c>
      <c r="O19" s="4">
        <f t="shared" si="3"/>
        <v>82840.236686390534</v>
      </c>
      <c r="P19" s="29" t="str">
        <f t="shared" si="4"/>
        <v>10,0 x 8.284,0 = 82.840</v>
      </c>
    </row>
    <row r="20" spans="2:16" x14ac:dyDescent="0.35">
      <c r="B20" s="9">
        <f t="shared" si="5"/>
        <v>203</v>
      </c>
      <c r="C20" s="10">
        <v>6.9999999999999993E-2</v>
      </c>
      <c r="D20" s="11">
        <v>17</v>
      </c>
      <c r="E20" s="11">
        <v>32</v>
      </c>
      <c r="F20" s="11">
        <f t="shared" si="1"/>
        <v>15</v>
      </c>
      <c r="H20" s="1" t="str">
        <f>"Entonces, se cobrará $"&amp;TEXT(J15,"0.000,0")&amp;" por cada m3 consumido"</f>
        <v>Entonces, se cobrará $8.284,0 por cada m3 consumido</v>
      </c>
      <c r="M20" s="9">
        <f t="shared" si="6"/>
        <v>203</v>
      </c>
      <c r="N20" s="11">
        <f t="shared" si="2"/>
        <v>15</v>
      </c>
      <c r="O20" s="4">
        <f t="shared" si="3"/>
        <v>124260.35502958579</v>
      </c>
      <c r="P20" s="29" t="str">
        <f t="shared" si="4"/>
        <v>15,0 x 8.284,0 = 124.260</v>
      </c>
    </row>
    <row r="21" spans="2:16" x14ac:dyDescent="0.35">
      <c r="B21" s="9">
        <f t="shared" si="5"/>
        <v>204</v>
      </c>
      <c r="C21" s="10">
        <v>0.03</v>
      </c>
      <c r="D21" s="11">
        <v>13</v>
      </c>
      <c r="E21" s="11">
        <v>15</v>
      </c>
      <c r="F21" s="11">
        <f t="shared" si="1"/>
        <v>2</v>
      </c>
      <c r="H21" s="1" t="s">
        <v>14</v>
      </c>
      <c r="M21" s="9">
        <f t="shared" si="6"/>
        <v>204</v>
      </c>
      <c r="N21" s="11">
        <f t="shared" si="2"/>
        <v>2</v>
      </c>
      <c r="O21" s="4">
        <f t="shared" si="3"/>
        <v>16568.047337278105</v>
      </c>
      <c r="P21" s="29" t="str">
        <f t="shared" si="4"/>
        <v>2,0 x 8.284,0 = 16.568</v>
      </c>
    </row>
    <row r="22" spans="2:16" x14ac:dyDescent="0.35">
      <c r="B22" s="9">
        <f t="shared" si="5"/>
        <v>301</v>
      </c>
      <c r="C22" s="10">
        <v>0.06</v>
      </c>
      <c r="D22" s="11">
        <v>28</v>
      </c>
      <c r="E22" s="11">
        <v>40</v>
      </c>
      <c r="F22" s="11">
        <f t="shared" si="1"/>
        <v>12</v>
      </c>
      <c r="H22" s="1" t="str">
        <f>"El monto de $"&amp;TEXT(D10,"0.000")&amp;" se cobrará en el GC"</f>
        <v>El monto de $600.000 se cobrará en el GC</v>
      </c>
      <c r="M22" s="9">
        <f t="shared" si="6"/>
        <v>301</v>
      </c>
      <c r="N22" s="11">
        <f t="shared" si="2"/>
        <v>12</v>
      </c>
      <c r="O22" s="4">
        <f t="shared" si="3"/>
        <v>99408.284023668632</v>
      </c>
      <c r="P22" s="29" t="str">
        <f t="shared" si="4"/>
        <v>12,0 x 8.284,0 = 99.408</v>
      </c>
    </row>
    <row r="23" spans="2:16" x14ac:dyDescent="0.35">
      <c r="B23" s="9">
        <f t="shared" si="5"/>
        <v>302</v>
      </c>
      <c r="C23" s="10">
        <v>0.04</v>
      </c>
      <c r="D23" s="11">
        <v>24</v>
      </c>
      <c r="E23" s="11">
        <v>36</v>
      </c>
      <c r="F23" s="11">
        <f t="shared" si="1"/>
        <v>12</v>
      </c>
      <c r="M23" s="9">
        <f t="shared" si="6"/>
        <v>302</v>
      </c>
      <c r="N23" s="11">
        <f t="shared" si="2"/>
        <v>12</v>
      </c>
      <c r="O23" s="4">
        <f t="shared" si="3"/>
        <v>99408.284023668632</v>
      </c>
      <c r="P23" s="29" t="str">
        <f t="shared" si="4"/>
        <v>12,0 x 8.284,0 = 99.408</v>
      </c>
    </row>
    <row r="24" spans="2:16" x14ac:dyDescent="0.35">
      <c r="B24" s="9">
        <f t="shared" si="5"/>
        <v>303</v>
      </c>
      <c r="C24" s="10">
        <v>6.9999999999999993E-2</v>
      </c>
      <c r="D24" s="11">
        <v>46</v>
      </c>
      <c r="E24" s="11">
        <v>59</v>
      </c>
      <c r="F24" s="11">
        <f t="shared" si="1"/>
        <v>13</v>
      </c>
      <c r="M24" s="9">
        <f t="shared" si="6"/>
        <v>303</v>
      </c>
      <c r="N24" s="11">
        <f t="shared" si="2"/>
        <v>13</v>
      </c>
      <c r="O24" s="4">
        <f t="shared" si="3"/>
        <v>107692.30769230769</v>
      </c>
      <c r="P24" s="29" t="str">
        <f t="shared" si="4"/>
        <v>13,0 x 8.284,0 = 107.692</v>
      </c>
    </row>
    <row r="25" spans="2:16" x14ac:dyDescent="0.35">
      <c r="B25" s="9">
        <f t="shared" si="5"/>
        <v>304</v>
      </c>
      <c r="C25" s="10">
        <v>0.03</v>
      </c>
      <c r="D25" s="11">
        <v>40</v>
      </c>
      <c r="E25" s="11">
        <v>45</v>
      </c>
      <c r="F25" s="11">
        <f t="shared" si="1"/>
        <v>5</v>
      </c>
      <c r="M25" s="9">
        <f t="shared" si="6"/>
        <v>304</v>
      </c>
      <c r="N25" s="11">
        <f t="shared" si="2"/>
        <v>5</v>
      </c>
      <c r="O25" s="4">
        <f t="shared" si="3"/>
        <v>41420.118343195267</v>
      </c>
      <c r="P25" s="29" t="str">
        <f t="shared" si="4"/>
        <v>5,0 x 8.284,0 = 41.420</v>
      </c>
    </row>
    <row r="26" spans="2:16" x14ac:dyDescent="0.35">
      <c r="B26" s="9">
        <f t="shared" si="5"/>
        <v>401</v>
      </c>
      <c r="C26" s="10">
        <v>0.06</v>
      </c>
      <c r="D26" s="11">
        <v>18</v>
      </c>
      <c r="E26" s="11">
        <v>25</v>
      </c>
      <c r="F26" s="11">
        <f t="shared" si="1"/>
        <v>7</v>
      </c>
      <c r="M26" s="9">
        <f t="shared" si="6"/>
        <v>401</v>
      </c>
      <c r="N26" s="11">
        <f t="shared" si="2"/>
        <v>7</v>
      </c>
      <c r="O26" s="4">
        <f t="shared" si="3"/>
        <v>57988.165680473365</v>
      </c>
      <c r="P26" s="29" t="str">
        <f t="shared" si="4"/>
        <v>7,0 x 8.284,0 = 57.988</v>
      </c>
    </row>
    <row r="27" spans="2:16" x14ac:dyDescent="0.35">
      <c r="B27" s="9">
        <f t="shared" si="5"/>
        <v>402</v>
      </c>
      <c r="C27" s="10">
        <v>0.04</v>
      </c>
      <c r="D27" s="11">
        <v>27</v>
      </c>
      <c r="E27" s="11">
        <v>31</v>
      </c>
      <c r="F27" s="11">
        <f t="shared" si="1"/>
        <v>4</v>
      </c>
      <c r="M27" s="9">
        <f t="shared" si="6"/>
        <v>402</v>
      </c>
      <c r="N27" s="11">
        <f t="shared" si="2"/>
        <v>4</v>
      </c>
      <c r="O27" s="4">
        <f t="shared" si="3"/>
        <v>33136.094674556211</v>
      </c>
      <c r="P27" s="29" t="str">
        <f t="shared" si="4"/>
        <v>4,0 x 8.284,0 = 33.136</v>
      </c>
    </row>
    <row r="28" spans="2:16" x14ac:dyDescent="0.35">
      <c r="B28" s="9">
        <f t="shared" si="5"/>
        <v>403</v>
      </c>
      <c r="C28" s="10">
        <v>6.9999999999999993E-2</v>
      </c>
      <c r="D28" s="11">
        <v>23</v>
      </c>
      <c r="E28" s="11">
        <v>31</v>
      </c>
      <c r="F28" s="11">
        <f t="shared" si="1"/>
        <v>8</v>
      </c>
      <c r="M28" s="9">
        <f t="shared" si="6"/>
        <v>403</v>
      </c>
      <c r="N28" s="11">
        <f t="shared" si="2"/>
        <v>8</v>
      </c>
      <c r="O28" s="4">
        <f t="shared" si="3"/>
        <v>66272.189349112421</v>
      </c>
      <c r="P28" s="29" t="str">
        <f t="shared" si="4"/>
        <v>8,0 x 8.284,0 = 66.272</v>
      </c>
    </row>
    <row r="29" spans="2:16" x14ac:dyDescent="0.35">
      <c r="B29" s="9">
        <f t="shared" si="5"/>
        <v>404</v>
      </c>
      <c r="C29" s="10">
        <v>0.03</v>
      </c>
      <c r="D29" s="11">
        <v>31</v>
      </c>
      <c r="E29" s="11">
        <v>37</v>
      </c>
      <c r="F29" s="11">
        <f t="shared" si="1"/>
        <v>6</v>
      </c>
      <c r="M29" s="9">
        <f t="shared" si="6"/>
        <v>404</v>
      </c>
      <c r="N29" s="11">
        <f t="shared" si="2"/>
        <v>6</v>
      </c>
      <c r="O29" s="4">
        <f t="shared" si="3"/>
        <v>49704.142011834316</v>
      </c>
      <c r="P29" s="29" t="str">
        <f t="shared" si="4"/>
        <v>6,0 x 8.284,0 = 49.704</v>
      </c>
    </row>
    <row r="30" spans="2:16" x14ac:dyDescent="0.35">
      <c r="B30" s="9">
        <f t="shared" si="5"/>
        <v>501</v>
      </c>
      <c r="C30" s="10">
        <v>0.06</v>
      </c>
      <c r="D30" s="11">
        <v>23</v>
      </c>
      <c r="E30" s="11">
        <v>35</v>
      </c>
      <c r="F30" s="11">
        <f t="shared" si="1"/>
        <v>12</v>
      </c>
      <c r="M30" s="9">
        <f t="shared" si="6"/>
        <v>501</v>
      </c>
      <c r="N30" s="11">
        <f t="shared" si="2"/>
        <v>12</v>
      </c>
      <c r="O30" s="4">
        <f t="shared" si="3"/>
        <v>99408.284023668632</v>
      </c>
      <c r="P30" s="29" t="str">
        <f t="shared" si="4"/>
        <v>12,0 x 8.284,0 = 99.408</v>
      </c>
    </row>
    <row r="31" spans="2:16" x14ac:dyDescent="0.35">
      <c r="B31" s="9">
        <f t="shared" si="5"/>
        <v>502</v>
      </c>
      <c r="C31" s="10">
        <v>0.04</v>
      </c>
      <c r="D31" s="11">
        <v>40</v>
      </c>
      <c r="E31" s="11">
        <v>52</v>
      </c>
      <c r="F31" s="11">
        <f t="shared" si="1"/>
        <v>12</v>
      </c>
      <c r="M31" s="9">
        <f t="shared" si="6"/>
        <v>502</v>
      </c>
      <c r="N31" s="11">
        <f t="shared" si="2"/>
        <v>12</v>
      </c>
      <c r="O31" s="4">
        <f t="shared" si="3"/>
        <v>99408.284023668632</v>
      </c>
      <c r="P31" s="29" t="str">
        <f t="shared" si="4"/>
        <v>12,0 x 8.284,0 = 99.408</v>
      </c>
    </row>
    <row r="32" spans="2:16" x14ac:dyDescent="0.35">
      <c r="B32" s="9">
        <f t="shared" si="5"/>
        <v>503</v>
      </c>
      <c r="C32" s="10">
        <v>6.9999999999999993E-2</v>
      </c>
      <c r="D32" s="11">
        <v>46</v>
      </c>
      <c r="E32" s="11">
        <v>46</v>
      </c>
      <c r="F32" s="11">
        <f t="shared" si="1"/>
        <v>0</v>
      </c>
      <c r="M32" s="9">
        <f t="shared" si="6"/>
        <v>503</v>
      </c>
      <c r="N32" s="11">
        <f t="shared" si="2"/>
        <v>0</v>
      </c>
      <c r="O32" s="4">
        <f t="shared" si="3"/>
        <v>0</v>
      </c>
      <c r="P32" s="29" t="str">
        <f t="shared" si="4"/>
        <v>0,0 x 8.284,0 = 0.000</v>
      </c>
    </row>
    <row r="33" spans="2:16" x14ac:dyDescent="0.35">
      <c r="B33" s="9">
        <f t="shared" si="5"/>
        <v>504</v>
      </c>
      <c r="C33" s="10">
        <v>0.03</v>
      </c>
      <c r="D33" s="11">
        <v>10</v>
      </c>
      <c r="E33" s="11">
        <v>19</v>
      </c>
      <c r="F33" s="11">
        <f t="shared" si="1"/>
        <v>9</v>
      </c>
      <c r="M33" s="9">
        <f t="shared" si="6"/>
        <v>504</v>
      </c>
      <c r="N33" s="11">
        <f t="shared" si="2"/>
        <v>9</v>
      </c>
      <c r="O33" s="4">
        <f t="shared" si="3"/>
        <v>74556.213017751477</v>
      </c>
      <c r="P33" s="29" t="str">
        <f t="shared" si="4"/>
        <v>9,0 x 8.284,0 = 74.556</v>
      </c>
    </row>
    <row r="34" spans="2:16" x14ac:dyDescent="0.35">
      <c r="B34" s="3"/>
      <c r="C34" s="10">
        <f>SUM(C14:C33)</f>
        <v>0.99999999999999989</v>
      </c>
      <c r="D34" s="9"/>
      <c r="E34" s="9"/>
      <c r="F34" s="33">
        <f>SUM(F14:F33)</f>
        <v>169</v>
      </c>
      <c r="M34" s="6"/>
      <c r="N34" s="33">
        <f>SUM(N14:N33)</f>
        <v>169</v>
      </c>
      <c r="O34" s="37">
        <f>SUM(O14:O33)</f>
        <v>1399999.9999999998</v>
      </c>
    </row>
  </sheetData>
  <mergeCells count="1">
    <mergeCell ref="I17:I18"/>
  </mergeCells>
  <pageMargins left="0.7" right="0.7" top="0.75" bottom="0.75" header="0.3" footer="0.3"/>
  <pageSetup orientation="portrait" verticalDpi="0" r:id="rId1"/>
  <ignoredErrors>
    <ignoredError sqref="C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3C15-FDEE-45DE-8065-BE4387F305F4}">
  <dimension ref="A1:R33"/>
  <sheetViews>
    <sheetView zoomScale="130" zoomScaleNormal="130" workbookViewId="0">
      <selection activeCell="H8" sqref="H8"/>
    </sheetView>
  </sheetViews>
  <sheetFormatPr baseColWidth="10" defaultColWidth="11.54296875" defaultRowHeight="14.5" x14ac:dyDescent="0.35"/>
  <cols>
    <col min="1" max="16384" width="11.54296875" style="2"/>
  </cols>
  <sheetData>
    <row r="1" spans="1:15" x14ac:dyDescent="0.35">
      <c r="A1" s="1" t="s">
        <v>18</v>
      </c>
    </row>
    <row r="3" spans="1:15" x14ac:dyDescent="0.35">
      <c r="A3" s="17" t="s">
        <v>3</v>
      </c>
    </row>
    <row r="4" spans="1:15" x14ac:dyDescent="0.35">
      <c r="A4" s="2" t="str">
        <f>"El reglamento de copropiedad establece que el "&amp;C8*100&amp;"% del gas utilizado en las calderas se cobrará en el gasto común, y el "&amp;D8*100&amp;"% se cobrará según el consumo individual."</f>
        <v>El reglamento de copropiedad establece que el 30% del gas utilizado en las calderas se cobrará en el gasto común, y el 70% se cobrará según el consumo individual.</v>
      </c>
    </row>
    <row r="5" spans="1:15" x14ac:dyDescent="0.35">
      <c r="A5" s="2" t="str">
        <f>"Respecto al agua, se cobrará el "&amp;H8*100&amp;"% en el gasto común y el "&amp;I8*100&amp;"% en el cobro individual."</f>
        <v>Respecto al agua, se cobrará el 15% en el gasto común y el 85% en el cobro individual.</v>
      </c>
    </row>
    <row r="7" spans="1:15" x14ac:dyDescent="0.35">
      <c r="A7" s="17" t="s">
        <v>4</v>
      </c>
    </row>
    <row r="8" spans="1:15" x14ac:dyDescent="0.35">
      <c r="A8" s="18"/>
      <c r="B8" s="19">
        <v>1</v>
      </c>
      <c r="C8" s="52">
        <v>0.3</v>
      </c>
      <c r="D8" s="19">
        <f>1-C8</f>
        <v>0.7</v>
      </c>
      <c r="F8" s="18"/>
      <c r="G8" s="19">
        <v>1</v>
      </c>
      <c r="H8" s="52">
        <v>0.15</v>
      </c>
      <c r="I8" s="19">
        <f>1-H8</f>
        <v>0.85</v>
      </c>
      <c r="K8" s="18"/>
      <c r="L8" s="19" t="s">
        <v>2</v>
      </c>
      <c r="M8" s="19" t="s">
        <v>19</v>
      </c>
      <c r="N8" s="19" t="s">
        <v>20</v>
      </c>
    </row>
    <row r="9" spans="1:15" x14ac:dyDescent="0.35">
      <c r="A9" s="3" t="s">
        <v>0</v>
      </c>
      <c r="B9" s="4">
        <v>1500000</v>
      </c>
      <c r="C9" s="40">
        <f>B9*C8</f>
        <v>450000</v>
      </c>
      <c r="D9" s="41">
        <f>B9*D8</f>
        <v>1050000</v>
      </c>
      <c r="F9" s="3" t="s">
        <v>1</v>
      </c>
      <c r="G9" s="4">
        <v>500000</v>
      </c>
      <c r="H9" s="40">
        <f>G9*H8</f>
        <v>75000</v>
      </c>
      <c r="I9" s="41">
        <f>G9*I8</f>
        <v>425000</v>
      </c>
      <c r="K9" s="3" t="s">
        <v>2</v>
      </c>
      <c r="L9" s="4">
        <f>SUM(G9,B9)</f>
        <v>2000000</v>
      </c>
      <c r="M9" s="42">
        <f t="shared" ref="M9:N9" si="0">SUM(H9,C9)</f>
        <v>525000</v>
      </c>
      <c r="N9" s="41">
        <f t="shared" si="0"/>
        <v>1475000</v>
      </c>
    </row>
    <row r="11" spans="1:15" x14ac:dyDescent="0.35">
      <c r="A11" s="17" t="s">
        <v>5</v>
      </c>
      <c r="G11" s="17" t="s">
        <v>11</v>
      </c>
      <c r="L11" s="17" t="s">
        <v>22</v>
      </c>
    </row>
    <row r="12" spans="1:15" x14ac:dyDescent="0.35">
      <c r="A12" s="20" t="s">
        <v>6</v>
      </c>
      <c r="B12" s="20" t="s">
        <v>7</v>
      </c>
      <c r="C12" s="20" t="s">
        <v>8</v>
      </c>
      <c r="D12" s="20" t="s">
        <v>9</v>
      </c>
      <c r="E12" s="20" t="s">
        <v>10</v>
      </c>
      <c r="G12" s="21" t="s">
        <v>12</v>
      </c>
      <c r="H12" s="7"/>
      <c r="I12" s="8">
        <f>N9</f>
        <v>1475000</v>
      </c>
      <c r="L12" s="20" t="s">
        <v>6</v>
      </c>
      <c r="M12" s="20" t="s">
        <v>10</v>
      </c>
      <c r="N12" s="18" t="s">
        <v>16</v>
      </c>
    </row>
    <row r="13" spans="1:15" x14ac:dyDescent="0.35">
      <c r="A13" s="49">
        <v>101</v>
      </c>
      <c r="B13" s="50">
        <v>0.06</v>
      </c>
      <c r="C13" s="51">
        <v>26</v>
      </c>
      <c r="D13" s="51">
        <v>26</v>
      </c>
      <c r="E13" s="51">
        <f>D13-C13</f>
        <v>0</v>
      </c>
      <c r="F13" s="12"/>
      <c r="G13" s="22" t="s">
        <v>13</v>
      </c>
      <c r="I13" s="13">
        <f>E33</f>
        <v>148</v>
      </c>
      <c r="L13" s="9">
        <v>101</v>
      </c>
      <c r="M13" s="11">
        <f>E13</f>
        <v>0</v>
      </c>
      <c r="N13" s="4">
        <f>M13*$I$14</f>
        <v>0</v>
      </c>
      <c r="O13" s="29" t="str">
        <f>TEXT(M13,"0,0")&amp;" x "&amp;TEXT($I$14,"0.000,0")&amp;" = "&amp;TEXT(N13,"0.000")</f>
        <v>0,0 x 9.966,2 = 0.000</v>
      </c>
    </row>
    <row r="14" spans="1:15" x14ac:dyDescent="0.35">
      <c r="A14" s="9">
        <v>102</v>
      </c>
      <c r="B14" s="10">
        <v>0.04</v>
      </c>
      <c r="C14" s="11">
        <v>19</v>
      </c>
      <c r="D14" s="11">
        <v>32</v>
      </c>
      <c r="E14" s="11">
        <f t="shared" ref="E14:E32" si="1">D14-C14</f>
        <v>13</v>
      </c>
      <c r="G14" s="23" t="str">
        <f>"M3 = "&amp;TEXT(I12,"0.000.000")&amp;"/"&amp;I13</f>
        <v>M3 = 1.475.000/148</v>
      </c>
      <c r="H14" s="14"/>
      <c r="I14" s="15">
        <f>I12/I13</f>
        <v>9966.2162162162167</v>
      </c>
      <c r="L14" s="9">
        <v>102</v>
      </c>
      <c r="M14" s="11">
        <f t="shared" ref="M14:M32" si="2">E14</f>
        <v>13</v>
      </c>
      <c r="N14" s="4">
        <f t="shared" ref="N14:N32" si="3">M14*$I$14</f>
        <v>129560.81081081081</v>
      </c>
      <c r="O14" s="29" t="str">
        <f t="shared" ref="O14:O32" si="4">TEXT(M14,"0,0")&amp;" x "&amp;TEXT($I$14,"0.000,0")&amp;" = "&amp;TEXT(N14,"0.000")</f>
        <v>13,0 x 9.966,2 = 129.561</v>
      </c>
    </row>
    <row r="15" spans="1:15" x14ac:dyDescent="0.35">
      <c r="A15" s="9">
        <v>103</v>
      </c>
      <c r="B15" s="10">
        <v>6.9999999999999993E-2</v>
      </c>
      <c r="C15" s="11">
        <v>30</v>
      </c>
      <c r="D15" s="11">
        <v>38</v>
      </c>
      <c r="E15" s="11">
        <f t="shared" si="1"/>
        <v>8</v>
      </c>
      <c r="L15" s="9">
        <v>103</v>
      </c>
      <c r="M15" s="11">
        <f t="shared" si="2"/>
        <v>8</v>
      </c>
      <c r="N15" s="4">
        <f t="shared" si="3"/>
        <v>79729.729729729734</v>
      </c>
      <c r="O15" s="29" t="str">
        <f t="shared" si="4"/>
        <v>8,0 x 9.966,2 = 79.730</v>
      </c>
    </row>
    <row r="16" spans="1:15" x14ac:dyDescent="0.35">
      <c r="A16" s="9">
        <v>104</v>
      </c>
      <c r="B16" s="10">
        <v>0.03</v>
      </c>
      <c r="C16" s="11">
        <v>14</v>
      </c>
      <c r="D16" s="11">
        <v>25</v>
      </c>
      <c r="E16" s="11">
        <f t="shared" si="1"/>
        <v>11</v>
      </c>
      <c r="G16" s="27">
        <f>I12</f>
        <v>1475000</v>
      </c>
      <c r="H16" s="53" t="str">
        <f>"= "&amp;TEXT(I14,"0.000,0")</f>
        <v>= 9.966,2</v>
      </c>
      <c r="L16" s="9">
        <v>104</v>
      </c>
      <c r="M16" s="11">
        <f t="shared" si="2"/>
        <v>11</v>
      </c>
      <c r="N16" s="4">
        <f t="shared" si="3"/>
        <v>109628.37837837839</v>
      </c>
      <c r="O16" s="29" t="str">
        <f t="shared" si="4"/>
        <v>11,0 x 9.966,2 = 109.628</v>
      </c>
    </row>
    <row r="17" spans="1:18" x14ac:dyDescent="0.35">
      <c r="A17" s="9">
        <f>A13+100</f>
        <v>201</v>
      </c>
      <c r="B17" s="10">
        <v>0.06</v>
      </c>
      <c r="C17" s="11">
        <v>42</v>
      </c>
      <c r="D17" s="11">
        <v>43</v>
      </c>
      <c r="E17" s="11">
        <f t="shared" si="1"/>
        <v>1</v>
      </c>
      <c r="G17" s="28">
        <f>I13</f>
        <v>148</v>
      </c>
      <c r="H17" s="53"/>
      <c r="L17" s="9">
        <f>L13+100</f>
        <v>201</v>
      </c>
      <c r="M17" s="11">
        <f t="shared" si="2"/>
        <v>1</v>
      </c>
      <c r="N17" s="4">
        <f t="shared" si="3"/>
        <v>9966.2162162162167</v>
      </c>
      <c r="O17" s="29" t="str">
        <f t="shared" si="4"/>
        <v>1,0 x 9.966,2 = 9.966</v>
      </c>
    </row>
    <row r="18" spans="1:18" x14ac:dyDescent="0.35">
      <c r="A18" s="9">
        <f t="shared" ref="A18:A32" si="5">A14+100</f>
        <v>202</v>
      </c>
      <c r="B18" s="10">
        <v>0.04</v>
      </c>
      <c r="C18" s="11">
        <v>23</v>
      </c>
      <c r="D18" s="11">
        <v>33</v>
      </c>
      <c r="E18" s="11">
        <f t="shared" si="1"/>
        <v>10</v>
      </c>
      <c r="L18" s="9">
        <f t="shared" ref="L18:L32" si="6">L14+100</f>
        <v>202</v>
      </c>
      <c r="M18" s="11">
        <f t="shared" si="2"/>
        <v>10</v>
      </c>
      <c r="N18" s="4">
        <f t="shared" si="3"/>
        <v>99662.16216216216</v>
      </c>
      <c r="O18" s="29" t="str">
        <f t="shared" si="4"/>
        <v>10,0 x 9.966,2 = 99.662</v>
      </c>
    </row>
    <row r="19" spans="1:18" x14ac:dyDescent="0.35">
      <c r="A19" s="9">
        <f t="shared" si="5"/>
        <v>203</v>
      </c>
      <c r="B19" s="10">
        <v>6.9999999999999993E-2</v>
      </c>
      <c r="C19" s="11">
        <v>17</v>
      </c>
      <c r="D19" s="11">
        <v>32</v>
      </c>
      <c r="E19" s="11">
        <f t="shared" si="1"/>
        <v>15</v>
      </c>
      <c r="G19" s="1" t="str">
        <f>"1.- Se cobrará $"&amp;TEXT(I14,"0.000,0")&amp;" por cada m3 consumido"</f>
        <v>1.- Se cobrará $9.966,2 por cada m3 consumido</v>
      </c>
      <c r="L19" s="43">
        <f t="shared" si="6"/>
        <v>203</v>
      </c>
      <c r="M19" s="44">
        <f t="shared" si="2"/>
        <v>15</v>
      </c>
      <c r="N19" s="45">
        <f t="shared" si="3"/>
        <v>149493.24324324325</v>
      </c>
      <c r="O19" s="46" t="str">
        <f t="shared" si="4"/>
        <v>15,0 x 9.966,2 = 149.493</v>
      </c>
      <c r="P19" s="47"/>
      <c r="Q19" s="47"/>
      <c r="R19" s="48">
        <v>252959</v>
      </c>
    </row>
    <row r="20" spans="1:18" x14ac:dyDescent="0.35">
      <c r="A20" s="9">
        <f t="shared" si="5"/>
        <v>204</v>
      </c>
      <c r="B20" s="10">
        <v>0.03</v>
      </c>
      <c r="C20" s="11">
        <v>13</v>
      </c>
      <c r="D20" s="11">
        <v>15</v>
      </c>
      <c r="E20" s="11">
        <f t="shared" si="1"/>
        <v>2</v>
      </c>
      <c r="G20" s="1" t="s">
        <v>21</v>
      </c>
      <c r="L20" s="9">
        <f t="shared" si="6"/>
        <v>204</v>
      </c>
      <c r="M20" s="11">
        <f t="shared" si="2"/>
        <v>2</v>
      </c>
      <c r="N20" s="4">
        <f t="shared" si="3"/>
        <v>19932.432432432433</v>
      </c>
      <c r="O20" s="29" t="str">
        <f t="shared" si="4"/>
        <v>2,0 x 9.966,2 = 19.932</v>
      </c>
    </row>
    <row r="21" spans="1:18" x14ac:dyDescent="0.35">
      <c r="A21" s="49">
        <f t="shared" si="5"/>
        <v>301</v>
      </c>
      <c r="B21" s="50">
        <v>0.06</v>
      </c>
      <c r="C21" s="51">
        <v>28</v>
      </c>
      <c r="D21" s="51">
        <v>28</v>
      </c>
      <c r="E21" s="51">
        <f t="shared" si="1"/>
        <v>0</v>
      </c>
      <c r="G21" s="1" t="str">
        <f>"3.- El monto de $"&amp;TEXT(M9,"0.000")&amp;" se cobrará en el GC"</f>
        <v>3.- El monto de $525.000 se cobrará en el GC</v>
      </c>
      <c r="L21" s="9">
        <f t="shared" si="6"/>
        <v>301</v>
      </c>
      <c r="M21" s="11">
        <f t="shared" si="2"/>
        <v>0</v>
      </c>
      <c r="N21" s="4">
        <f t="shared" si="3"/>
        <v>0</v>
      </c>
      <c r="O21" s="29" t="str">
        <f t="shared" si="4"/>
        <v>0,0 x 9.966,2 = 0.000</v>
      </c>
    </row>
    <row r="22" spans="1:18" x14ac:dyDescent="0.35">
      <c r="A22" s="9">
        <f t="shared" si="5"/>
        <v>302</v>
      </c>
      <c r="B22" s="10">
        <v>0.04</v>
      </c>
      <c r="C22" s="11">
        <v>24</v>
      </c>
      <c r="D22" s="11">
        <v>36</v>
      </c>
      <c r="E22" s="11">
        <f t="shared" si="1"/>
        <v>12</v>
      </c>
      <c r="L22" s="9">
        <f t="shared" si="6"/>
        <v>302</v>
      </c>
      <c r="M22" s="11">
        <f t="shared" si="2"/>
        <v>12</v>
      </c>
      <c r="N22" s="4">
        <f t="shared" si="3"/>
        <v>119594.5945945946</v>
      </c>
      <c r="O22" s="29" t="str">
        <f t="shared" si="4"/>
        <v>12,0 x 9.966,2 = 119.595</v>
      </c>
    </row>
    <row r="23" spans="1:18" x14ac:dyDescent="0.35">
      <c r="A23" s="9">
        <f t="shared" si="5"/>
        <v>303</v>
      </c>
      <c r="B23" s="10">
        <v>6.9999999999999993E-2</v>
      </c>
      <c r="C23" s="11">
        <v>46</v>
      </c>
      <c r="D23" s="11">
        <v>59</v>
      </c>
      <c r="E23" s="11">
        <f t="shared" si="1"/>
        <v>13</v>
      </c>
      <c r="L23" s="9">
        <f t="shared" si="6"/>
        <v>303</v>
      </c>
      <c r="M23" s="11">
        <f t="shared" si="2"/>
        <v>13</v>
      </c>
      <c r="N23" s="4">
        <f t="shared" si="3"/>
        <v>129560.81081081081</v>
      </c>
      <c r="O23" s="29" t="str">
        <f t="shared" si="4"/>
        <v>13,0 x 9.966,2 = 129.561</v>
      </c>
    </row>
    <row r="24" spans="1:18" x14ac:dyDescent="0.35">
      <c r="A24" s="9">
        <f t="shared" si="5"/>
        <v>304</v>
      </c>
      <c r="B24" s="10">
        <v>0.03</v>
      </c>
      <c r="C24" s="11">
        <v>40</v>
      </c>
      <c r="D24" s="11">
        <v>45</v>
      </c>
      <c r="E24" s="11">
        <f t="shared" si="1"/>
        <v>5</v>
      </c>
      <c r="L24" s="9">
        <f t="shared" si="6"/>
        <v>304</v>
      </c>
      <c r="M24" s="11">
        <f t="shared" si="2"/>
        <v>5</v>
      </c>
      <c r="N24" s="4">
        <f t="shared" si="3"/>
        <v>49831.08108108108</v>
      </c>
      <c r="O24" s="29" t="str">
        <f t="shared" si="4"/>
        <v>5,0 x 9.966,2 = 49.831</v>
      </c>
    </row>
    <row r="25" spans="1:18" x14ac:dyDescent="0.35">
      <c r="A25" s="9">
        <f t="shared" si="5"/>
        <v>401</v>
      </c>
      <c r="B25" s="10">
        <v>0.06</v>
      </c>
      <c r="C25" s="11">
        <v>18</v>
      </c>
      <c r="D25" s="11">
        <v>25</v>
      </c>
      <c r="E25" s="11">
        <f t="shared" si="1"/>
        <v>7</v>
      </c>
      <c r="L25" s="9">
        <f t="shared" si="6"/>
        <v>401</v>
      </c>
      <c r="M25" s="11">
        <f t="shared" si="2"/>
        <v>7</v>
      </c>
      <c r="N25" s="4">
        <f t="shared" si="3"/>
        <v>69763.513513513521</v>
      </c>
      <c r="O25" s="29" t="str">
        <f t="shared" si="4"/>
        <v>7,0 x 9.966,2 = 69.764</v>
      </c>
    </row>
    <row r="26" spans="1:18" x14ac:dyDescent="0.35">
      <c r="A26" s="9">
        <f t="shared" si="5"/>
        <v>402</v>
      </c>
      <c r="B26" s="10">
        <v>0.04</v>
      </c>
      <c r="C26" s="11">
        <v>27</v>
      </c>
      <c r="D26" s="11">
        <v>31</v>
      </c>
      <c r="E26" s="11">
        <f t="shared" si="1"/>
        <v>4</v>
      </c>
      <c r="L26" s="9">
        <f t="shared" si="6"/>
        <v>402</v>
      </c>
      <c r="M26" s="11">
        <f t="shared" si="2"/>
        <v>4</v>
      </c>
      <c r="N26" s="4">
        <f t="shared" si="3"/>
        <v>39864.864864864867</v>
      </c>
      <c r="O26" s="29" t="str">
        <f t="shared" si="4"/>
        <v>4,0 x 9.966,2 = 39.865</v>
      </c>
    </row>
    <row r="27" spans="1:18" x14ac:dyDescent="0.35">
      <c r="A27" s="9">
        <f t="shared" si="5"/>
        <v>403</v>
      </c>
      <c r="B27" s="10">
        <v>6.9999999999999993E-2</v>
      </c>
      <c r="C27" s="11">
        <v>23</v>
      </c>
      <c r="D27" s="11">
        <v>31</v>
      </c>
      <c r="E27" s="11">
        <f t="shared" si="1"/>
        <v>8</v>
      </c>
      <c r="L27" s="9">
        <f t="shared" si="6"/>
        <v>403</v>
      </c>
      <c r="M27" s="11">
        <f t="shared" si="2"/>
        <v>8</v>
      </c>
      <c r="N27" s="4">
        <f t="shared" si="3"/>
        <v>79729.729729729734</v>
      </c>
      <c r="O27" s="29" t="str">
        <f t="shared" si="4"/>
        <v>8,0 x 9.966,2 = 79.730</v>
      </c>
    </row>
    <row r="28" spans="1:18" x14ac:dyDescent="0.35">
      <c r="A28" s="9">
        <f t="shared" si="5"/>
        <v>404</v>
      </c>
      <c r="B28" s="10">
        <v>0.03</v>
      </c>
      <c r="C28" s="11">
        <v>31</v>
      </c>
      <c r="D28" s="11">
        <v>37</v>
      </c>
      <c r="E28" s="11">
        <f t="shared" si="1"/>
        <v>6</v>
      </c>
      <c r="L28" s="9">
        <f t="shared" si="6"/>
        <v>404</v>
      </c>
      <c r="M28" s="11">
        <f t="shared" si="2"/>
        <v>6</v>
      </c>
      <c r="N28" s="4">
        <f t="shared" si="3"/>
        <v>59797.2972972973</v>
      </c>
      <c r="O28" s="29" t="str">
        <f t="shared" si="4"/>
        <v>6,0 x 9.966,2 = 59.797</v>
      </c>
    </row>
    <row r="29" spans="1:18" x14ac:dyDescent="0.35">
      <c r="A29" s="9">
        <f t="shared" si="5"/>
        <v>501</v>
      </c>
      <c r="B29" s="10">
        <v>0.06</v>
      </c>
      <c r="C29" s="11">
        <v>23</v>
      </c>
      <c r="D29" s="11">
        <v>35</v>
      </c>
      <c r="E29" s="11">
        <f t="shared" si="1"/>
        <v>12</v>
      </c>
      <c r="L29" s="9">
        <f t="shared" si="6"/>
        <v>501</v>
      </c>
      <c r="M29" s="11">
        <f t="shared" si="2"/>
        <v>12</v>
      </c>
      <c r="N29" s="4">
        <f t="shared" si="3"/>
        <v>119594.5945945946</v>
      </c>
      <c r="O29" s="29" t="str">
        <f t="shared" si="4"/>
        <v>12,0 x 9.966,2 = 119.595</v>
      </c>
    </row>
    <row r="30" spans="1:18" x14ac:dyDescent="0.35">
      <c r="A30" s="9">
        <f t="shared" si="5"/>
        <v>502</v>
      </c>
      <c r="B30" s="10">
        <v>0.04</v>
      </c>
      <c r="C30" s="11">
        <v>40</v>
      </c>
      <c r="D30" s="11">
        <v>52</v>
      </c>
      <c r="E30" s="11">
        <f t="shared" si="1"/>
        <v>12</v>
      </c>
      <c r="L30" s="9">
        <f t="shared" si="6"/>
        <v>502</v>
      </c>
      <c r="M30" s="11">
        <f t="shared" si="2"/>
        <v>12</v>
      </c>
      <c r="N30" s="4">
        <f t="shared" si="3"/>
        <v>119594.5945945946</v>
      </c>
      <c r="O30" s="29" t="str">
        <f t="shared" si="4"/>
        <v>12,0 x 9.966,2 = 119.595</v>
      </c>
    </row>
    <row r="31" spans="1:18" x14ac:dyDescent="0.35">
      <c r="A31" s="9">
        <f t="shared" si="5"/>
        <v>503</v>
      </c>
      <c r="B31" s="10">
        <v>6.9999999999999993E-2</v>
      </c>
      <c r="C31" s="11">
        <v>46</v>
      </c>
      <c r="D31" s="11">
        <v>46</v>
      </c>
      <c r="E31" s="11">
        <f t="shared" si="1"/>
        <v>0</v>
      </c>
      <c r="L31" s="9">
        <f t="shared" si="6"/>
        <v>503</v>
      </c>
      <c r="M31" s="11">
        <f t="shared" si="2"/>
        <v>0</v>
      </c>
      <c r="N31" s="4">
        <f t="shared" si="3"/>
        <v>0</v>
      </c>
      <c r="O31" s="29" t="str">
        <f t="shared" si="4"/>
        <v>0,0 x 9.966,2 = 0.000</v>
      </c>
    </row>
    <row r="32" spans="1:18" x14ac:dyDescent="0.35">
      <c r="A32" s="9">
        <f t="shared" si="5"/>
        <v>504</v>
      </c>
      <c r="B32" s="10">
        <v>0.03</v>
      </c>
      <c r="C32" s="11">
        <v>10</v>
      </c>
      <c r="D32" s="11">
        <v>19</v>
      </c>
      <c r="E32" s="11">
        <f t="shared" si="1"/>
        <v>9</v>
      </c>
      <c r="L32" s="9">
        <f t="shared" si="6"/>
        <v>504</v>
      </c>
      <c r="M32" s="11">
        <f t="shared" si="2"/>
        <v>9</v>
      </c>
      <c r="N32" s="4">
        <f t="shared" si="3"/>
        <v>89695.945945945947</v>
      </c>
      <c r="O32" s="29" t="str">
        <f t="shared" si="4"/>
        <v>9,0 x 9.966,2 = 89.696</v>
      </c>
    </row>
    <row r="33" spans="1:14" x14ac:dyDescent="0.35">
      <c r="A33" s="3"/>
      <c r="B33" s="10">
        <f>SUM(B13:B32)</f>
        <v>0.99999999999999989</v>
      </c>
      <c r="C33" s="9"/>
      <c r="D33" s="9"/>
      <c r="E33" s="25">
        <f>SUM(E13:E32)</f>
        <v>148</v>
      </c>
      <c r="L33" s="6"/>
      <c r="M33" s="25">
        <f>SUM(M13:M32)</f>
        <v>148</v>
      </c>
      <c r="N33" s="24">
        <f>SUM(N13:N32)</f>
        <v>1475000</v>
      </c>
    </row>
  </sheetData>
  <mergeCells count="1">
    <mergeCell ref="H16:H17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9848-71A9-4C79-8539-34B20D4FDA77}">
  <dimension ref="A1:M32"/>
  <sheetViews>
    <sheetView tabSelected="1" workbookViewId="0">
      <selection activeCell="B15" sqref="B15"/>
    </sheetView>
  </sheetViews>
  <sheetFormatPr baseColWidth="10" defaultColWidth="11.54296875" defaultRowHeight="14.5" x14ac:dyDescent="0.35"/>
  <cols>
    <col min="1" max="16384" width="11.54296875" style="2"/>
  </cols>
  <sheetData>
    <row r="1" spans="1:13" x14ac:dyDescent="0.35">
      <c r="A1" s="1" t="s">
        <v>23</v>
      </c>
    </row>
    <row r="2" spans="1:13" x14ac:dyDescent="0.35">
      <c r="A2" s="1"/>
    </row>
    <row r="3" spans="1:13" x14ac:dyDescent="0.35">
      <c r="A3" s="32" t="s">
        <v>24</v>
      </c>
      <c r="B3" s="20">
        <v>1</v>
      </c>
    </row>
    <row r="5" spans="1:13" x14ac:dyDescent="0.35">
      <c r="A5" s="17" t="s">
        <v>3</v>
      </c>
    </row>
    <row r="6" spans="1:13" x14ac:dyDescent="0.35">
      <c r="A6" s="29" t="str">
        <f>IF(B3=1,"En el caso "&amp;B3&amp;", se estableció que se cobrará en el gasto común un total de $"&amp;TEXT('CASO 1'!D10,"0.000")&amp;". Ese valor será prorrateado entre las unidades de acuerdo al factor de cobro de obligaciones económicas.",IF(B3=2,"En el caso "&amp;B3&amp;", se estableció que se cobrará en el gasto común un total de $"&amp;TEXT('CASO 2'!M9,"0.000")&amp;". Ese valor será prorrateado entre las unidades de acuerdo al factor de cobro de obligaciones económicas."))</f>
        <v>En el caso 1, se estableció que se cobrará en el gasto común un total de $600.000. Ese valor será prorrateado entre las unidades de acuerdo al factor de cobro de obligaciones económicas.</v>
      </c>
    </row>
    <row r="8" spans="1:13" x14ac:dyDescent="0.35">
      <c r="A8" s="17" t="s">
        <v>28</v>
      </c>
      <c r="D8" s="30">
        <f>IF(B3=1,'CASO 1'!D10,IF(B3=2,'CASO 2'!M9))</f>
        <v>600000</v>
      </c>
    </row>
    <row r="9" spans="1:13" x14ac:dyDescent="0.35">
      <c r="H9" s="54"/>
      <c r="I9" s="55" t="s">
        <v>2</v>
      </c>
      <c r="J9" s="54" t="s">
        <v>26</v>
      </c>
      <c r="K9" s="54"/>
      <c r="L9" s="54" t="s">
        <v>27</v>
      </c>
      <c r="M9" s="54"/>
    </row>
    <row r="10" spans="1:13" x14ac:dyDescent="0.35">
      <c r="A10" s="17" t="s">
        <v>5</v>
      </c>
      <c r="H10" s="54"/>
      <c r="I10" s="55"/>
      <c r="J10" s="20" t="s">
        <v>25</v>
      </c>
      <c r="K10" s="20" t="s">
        <v>20</v>
      </c>
      <c r="L10" s="20" t="s">
        <v>25</v>
      </c>
      <c r="M10" s="20" t="s">
        <v>20</v>
      </c>
    </row>
    <row r="11" spans="1:13" x14ac:dyDescent="0.35">
      <c r="A11" s="20" t="s">
        <v>6</v>
      </c>
      <c r="B11" s="20" t="s">
        <v>7</v>
      </c>
      <c r="C11" s="20" t="s">
        <v>25</v>
      </c>
      <c r="H11" s="31" t="s">
        <v>0</v>
      </c>
      <c r="I11" s="4">
        <f>IF(B3=1,'CASO 1'!C8,'CASO 2'!B9)</f>
        <v>1500000</v>
      </c>
      <c r="J11" s="10">
        <f>IF(B3=1,'CASO 1'!D7,'CASO 2'!C8)</f>
        <v>0.3</v>
      </c>
      <c r="K11" s="10">
        <f>IF(B3=1,'CASO 1'!E7,'CASO 2'!D8)</f>
        <v>0.7</v>
      </c>
      <c r="L11" s="4">
        <f>IF(B3=1,'CASO 1'!D8,'CASO 2'!C9)</f>
        <v>450000</v>
      </c>
      <c r="M11" s="4">
        <f>IF(B3=1,'CASO 1'!E8,'CASO 2'!D9)</f>
        <v>1050000</v>
      </c>
    </row>
    <row r="12" spans="1:13" x14ac:dyDescent="0.35">
      <c r="A12" s="9">
        <v>101</v>
      </c>
      <c r="B12" s="10">
        <v>0.06</v>
      </c>
      <c r="C12" s="16">
        <f>$D$8*B12</f>
        <v>36000</v>
      </c>
      <c r="D12" s="29" t="str">
        <f>B12*100&amp;"% x "&amp;TEXT($D$8,"0.000")&amp;" = "&amp;TEXT(C12,"0.000")</f>
        <v>6% x 600.000 = 36.000</v>
      </c>
      <c r="H12" s="31" t="s">
        <v>1</v>
      </c>
      <c r="I12" s="4">
        <f>IF(B3=1,'CASO 1'!C9,'CASO 2'!G9)</f>
        <v>500000</v>
      </c>
      <c r="J12" s="10">
        <f>IF(B3=1,'CASO 1'!D7,'CASO 2'!H8)</f>
        <v>0.3</v>
      </c>
      <c r="K12" s="10">
        <f>IF(B3=1,'CASO 1'!E7,'CASO 2'!I8)</f>
        <v>0.7</v>
      </c>
      <c r="L12" s="4">
        <f>IF(B3=1,'CASO 1'!D9,'CASO 2'!H9)</f>
        <v>150000</v>
      </c>
      <c r="M12" s="4">
        <f>IF(B3=1,'CASO 1'!E9,'CASO 2'!I9)</f>
        <v>350000</v>
      </c>
    </row>
    <row r="13" spans="1:13" x14ac:dyDescent="0.35">
      <c r="A13" s="9">
        <v>102</v>
      </c>
      <c r="B13" s="10">
        <v>0.04</v>
      </c>
      <c r="C13" s="16">
        <f t="shared" ref="C13:C31" si="0">$D$8*B13</f>
        <v>24000</v>
      </c>
      <c r="D13" s="29" t="str">
        <f t="shared" ref="D13:D31" si="1">B13*100&amp;"% x "&amp;TEXT($D$8,"0.000")&amp;" = "&amp;TEXT(C13,"0.000")</f>
        <v>4% x 600.000 = 24.000</v>
      </c>
      <c r="H13" s="31" t="s">
        <v>2</v>
      </c>
      <c r="I13" s="4">
        <f>SUM(I11:I12)</f>
        <v>2000000</v>
      </c>
      <c r="J13" s="3"/>
      <c r="K13" s="3"/>
      <c r="L13" s="5">
        <f>SUM(L11:L12)</f>
        <v>600000</v>
      </c>
      <c r="M13" s="5">
        <f>SUM(M11:M12)</f>
        <v>1400000</v>
      </c>
    </row>
    <row r="14" spans="1:13" x14ac:dyDescent="0.35">
      <c r="A14" s="9">
        <v>103</v>
      </c>
      <c r="B14" s="10">
        <v>6.9999999999999993E-2</v>
      </c>
      <c r="C14" s="16">
        <f t="shared" si="0"/>
        <v>41999.999999999993</v>
      </c>
      <c r="D14" s="29" t="str">
        <f t="shared" si="1"/>
        <v>7% x 600.000 = 42.000</v>
      </c>
    </row>
    <row r="15" spans="1:13" x14ac:dyDescent="0.35">
      <c r="A15" s="9">
        <v>104</v>
      </c>
      <c r="B15" s="10">
        <v>0.03</v>
      </c>
      <c r="C15" s="16">
        <f t="shared" si="0"/>
        <v>18000</v>
      </c>
      <c r="D15" s="29" t="str">
        <f t="shared" si="1"/>
        <v>3% x 600.000 = 18.000</v>
      </c>
    </row>
    <row r="16" spans="1:13" x14ac:dyDescent="0.35">
      <c r="A16" s="9">
        <f>A12+100</f>
        <v>201</v>
      </c>
      <c r="B16" s="10">
        <v>0.06</v>
      </c>
      <c r="C16" s="16">
        <f t="shared" si="0"/>
        <v>36000</v>
      </c>
      <c r="D16" s="29" t="str">
        <f t="shared" si="1"/>
        <v>6% x 600.000 = 36.000</v>
      </c>
    </row>
    <row r="17" spans="1:4" x14ac:dyDescent="0.35">
      <c r="A17" s="9">
        <f t="shared" ref="A17:A31" si="2">A13+100</f>
        <v>202</v>
      </c>
      <c r="B17" s="10">
        <v>0.04</v>
      </c>
      <c r="C17" s="16">
        <f t="shared" si="0"/>
        <v>24000</v>
      </c>
      <c r="D17" s="29" t="str">
        <f t="shared" si="1"/>
        <v>4% x 600.000 = 24.000</v>
      </c>
    </row>
    <row r="18" spans="1:4" x14ac:dyDescent="0.35">
      <c r="A18" s="9">
        <f t="shared" si="2"/>
        <v>203</v>
      </c>
      <c r="B18" s="10">
        <v>6.9999999999999993E-2</v>
      </c>
      <c r="C18" s="16">
        <f t="shared" si="0"/>
        <v>41999.999999999993</v>
      </c>
      <c r="D18" s="29" t="str">
        <f t="shared" si="1"/>
        <v>7% x 600.000 = 42.000</v>
      </c>
    </row>
    <row r="19" spans="1:4" x14ac:dyDescent="0.35">
      <c r="A19" s="9">
        <f t="shared" si="2"/>
        <v>204</v>
      </c>
      <c r="B19" s="10">
        <v>0.03</v>
      </c>
      <c r="C19" s="16">
        <f t="shared" si="0"/>
        <v>18000</v>
      </c>
      <c r="D19" s="29" t="str">
        <f t="shared" si="1"/>
        <v>3% x 600.000 = 18.000</v>
      </c>
    </row>
    <row r="20" spans="1:4" x14ac:dyDescent="0.35">
      <c r="A20" s="9">
        <f t="shared" si="2"/>
        <v>301</v>
      </c>
      <c r="B20" s="10">
        <v>0.06</v>
      </c>
      <c r="C20" s="16">
        <f t="shared" si="0"/>
        <v>36000</v>
      </c>
      <c r="D20" s="29" t="str">
        <f t="shared" si="1"/>
        <v>6% x 600.000 = 36.000</v>
      </c>
    </row>
    <row r="21" spans="1:4" x14ac:dyDescent="0.35">
      <c r="A21" s="9">
        <f t="shared" si="2"/>
        <v>302</v>
      </c>
      <c r="B21" s="10">
        <v>0.04</v>
      </c>
      <c r="C21" s="16">
        <f t="shared" si="0"/>
        <v>24000</v>
      </c>
      <c r="D21" s="29" t="str">
        <f t="shared" si="1"/>
        <v>4% x 600.000 = 24.000</v>
      </c>
    </row>
    <row r="22" spans="1:4" x14ac:dyDescent="0.35">
      <c r="A22" s="9">
        <f t="shared" si="2"/>
        <v>303</v>
      </c>
      <c r="B22" s="10">
        <v>6.9999999999999993E-2</v>
      </c>
      <c r="C22" s="16">
        <f t="shared" si="0"/>
        <v>41999.999999999993</v>
      </c>
      <c r="D22" s="29" t="str">
        <f t="shared" si="1"/>
        <v>7% x 600.000 = 42.000</v>
      </c>
    </row>
    <row r="23" spans="1:4" x14ac:dyDescent="0.35">
      <c r="A23" s="9">
        <f t="shared" si="2"/>
        <v>304</v>
      </c>
      <c r="B23" s="10">
        <v>0.03</v>
      </c>
      <c r="C23" s="16">
        <f t="shared" si="0"/>
        <v>18000</v>
      </c>
      <c r="D23" s="29" t="str">
        <f t="shared" si="1"/>
        <v>3% x 600.000 = 18.000</v>
      </c>
    </row>
    <row r="24" spans="1:4" x14ac:dyDescent="0.35">
      <c r="A24" s="9">
        <f t="shared" si="2"/>
        <v>401</v>
      </c>
      <c r="B24" s="10">
        <v>0.06</v>
      </c>
      <c r="C24" s="16">
        <f t="shared" si="0"/>
        <v>36000</v>
      </c>
      <c r="D24" s="29" t="str">
        <f t="shared" si="1"/>
        <v>6% x 600.000 = 36.000</v>
      </c>
    </row>
    <row r="25" spans="1:4" x14ac:dyDescent="0.35">
      <c r="A25" s="9">
        <f t="shared" si="2"/>
        <v>402</v>
      </c>
      <c r="B25" s="10">
        <v>0.04</v>
      </c>
      <c r="C25" s="16">
        <f t="shared" si="0"/>
        <v>24000</v>
      </c>
      <c r="D25" s="29" t="str">
        <f t="shared" si="1"/>
        <v>4% x 600.000 = 24.000</v>
      </c>
    </row>
    <row r="26" spans="1:4" x14ac:dyDescent="0.35">
      <c r="A26" s="9">
        <f t="shared" si="2"/>
        <v>403</v>
      </c>
      <c r="B26" s="10">
        <v>6.9999999999999993E-2</v>
      </c>
      <c r="C26" s="16">
        <f t="shared" si="0"/>
        <v>41999.999999999993</v>
      </c>
      <c r="D26" s="29" t="str">
        <f t="shared" si="1"/>
        <v>7% x 600.000 = 42.000</v>
      </c>
    </row>
    <row r="27" spans="1:4" x14ac:dyDescent="0.35">
      <c r="A27" s="9">
        <f t="shared" si="2"/>
        <v>404</v>
      </c>
      <c r="B27" s="10">
        <v>0.03</v>
      </c>
      <c r="C27" s="16">
        <f t="shared" si="0"/>
        <v>18000</v>
      </c>
      <c r="D27" s="29" t="str">
        <f t="shared" si="1"/>
        <v>3% x 600.000 = 18.000</v>
      </c>
    </row>
    <row r="28" spans="1:4" x14ac:dyDescent="0.35">
      <c r="A28" s="9">
        <f t="shared" si="2"/>
        <v>501</v>
      </c>
      <c r="B28" s="10">
        <v>0.06</v>
      </c>
      <c r="C28" s="16">
        <f t="shared" si="0"/>
        <v>36000</v>
      </c>
      <c r="D28" s="29" t="str">
        <f t="shared" si="1"/>
        <v>6% x 600.000 = 36.000</v>
      </c>
    </row>
    <row r="29" spans="1:4" x14ac:dyDescent="0.35">
      <c r="A29" s="9">
        <f t="shared" si="2"/>
        <v>502</v>
      </c>
      <c r="B29" s="10">
        <v>0.04</v>
      </c>
      <c r="C29" s="16">
        <f t="shared" si="0"/>
        <v>24000</v>
      </c>
      <c r="D29" s="29" t="str">
        <f t="shared" si="1"/>
        <v>4% x 600.000 = 24.000</v>
      </c>
    </row>
    <row r="30" spans="1:4" x14ac:dyDescent="0.35">
      <c r="A30" s="9">
        <f t="shared" si="2"/>
        <v>503</v>
      </c>
      <c r="B30" s="10">
        <v>6.9999999999999993E-2</v>
      </c>
      <c r="C30" s="16">
        <f t="shared" si="0"/>
        <v>41999.999999999993</v>
      </c>
      <c r="D30" s="29" t="str">
        <f t="shared" si="1"/>
        <v>7% x 600.000 = 42.000</v>
      </c>
    </row>
    <row r="31" spans="1:4" x14ac:dyDescent="0.35">
      <c r="A31" s="9">
        <f t="shared" si="2"/>
        <v>504</v>
      </c>
      <c r="B31" s="10">
        <v>0.03</v>
      </c>
      <c r="C31" s="16">
        <f t="shared" si="0"/>
        <v>18000</v>
      </c>
      <c r="D31" s="29" t="str">
        <f t="shared" si="1"/>
        <v>3% x 600.000 = 18.000</v>
      </c>
    </row>
    <row r="32" spans="1:4" x14ac:dyDescent="0.35">
      <c r="A32" s="3"/>
      <c r="B32" s="38">
        <f>SUM(B12:B31)</f>
        <v>0.99999999999999989</v>
      </c>
      <c r="C32" s="39">
        <f>SUM(C12:C31)</f>
        <v>600000</v>
      </c>
    </row>
  </sheetData>
  <mergeCells count="4">
    <mergeCell ref="L9:M9"/>
    <mergeCell ref="J9:K9"/>
    <mergeCell ref="H9:H10"/>
    <mergeCell ref="I9:I10"/>
  </mergeCells>
  <dataValidations count="1">
    <dataValidation type="list" allowBlank="1" showInputMessage="1" showErrorMessage="1" sqref="B3" xr:uid="{89629701-E595-4AE6-8B2D-D757C1056BF4}">
      <formula1>"1,2"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 1</vt:lpstr>
      <vt:lpstr>CASO 2</vt:lpstr>
      <vt:lpstr>GTO COMÚN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Zelkova</dc:creator>
  <cp:lastModifiedBy>Mario Carreño Urbina</cp:lastModifiedBy>
  <dcterms:created xsi:type="dcterms:W3CDTF">2023-12-08T16:20:44Z</dcterms:created>
  <dcterms:modified xsi:type="dcterms:W3CDTF">2024-04-24T20:24:54Z</dcterms:modified>
</cp:coreProperties>
</file>