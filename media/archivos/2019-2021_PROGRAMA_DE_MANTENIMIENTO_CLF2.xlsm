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Mario Carreño Urbina\Documents\AMCARU\GESTION ADMINISTRACION CONDOMINIO\"/>
    </mc:Choice>
  </mc:AlternateContent>
  <xr:revisionPtr revIDLastSave="0" documentId="13_ncr:1_{2B885CDD-2144-4E37-9BA3-E6B7BEC40FE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ICHA DE CONTRATOS MANTENCIÓN" sheetId="2" r:id="rId1"/>
    <sheet name="COSTO_ANUAL_MANTENIMIENTO" sheetId="8" r:id="rId2"/>
    <sheet name="PROGRAMA DE MANTENCIÓN" sheetId="3" r:id="rId3"/>
    <sheet name="FICHA_MANTENIMIENTO_CORRECTIVO" sheetId="6" r:id="rId4"/>
    <sheet name="PROGRAMA_MANTENCIÓN_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8" l="1"/>
  <c r="E26" i="8"/>
  <c r="F26" i="8"/>
  <c r="G26" i="8"/>
  <c r="H26" i="8"/>
  <c r="I26" i="8"/>
  <c r="J26" i="8"/>
  <c r="K26" i="8"/>
  <c r="L26" i="8"/>
  <c r="M26" i="8"/>
  <c r="N26" i="8"/>
  <c r="O26" i="8"/>
  <c r="P25" i="8"/>
  <c r="P24" i="8"/>
  <c r="P23" i="8"/>
  <c r="P22" i="8"/>
  <c r="P21" i="8"/>
  <c r="P20" i="8"/>
  <c r="P19" i="8"/>
  <c r="P18" i="8"/>
  <c r="P17" i="8"/>
  <c r="P16" i="8"/>
  <c r="P15" i="8"/>
  <c r="P14" i="8"/>
  <c r="P10" i="8"/>
  <c r="P9" i="8"/>
  <c r="P8" i="8"/>
  <c r="P26" i="8" l="1"/>
</calcChain>
</file>

<file path=xl/sharedStrings.xml><?xml version="1.0" encoding="utf-8"?>
<sst xmlns="http://schemas.openxmlformats.org/spreadsheetml/2006/main" count="659" uniqueCount="206">
  <si>
    <t>ASCENSORES</t>
  </si>
  <si>
    <t>PISCINA</t>
  </si>
  <si>
    <t>INICIO</t>
  </si>
  <si>
    <t>TERMINO</t>
  </si>
  <si>
    <t>VALOR DEL SERVICIO</t>
  </si>
  <si>
    <t xml:space="preserve">EMPRESA </t>
  </si>
  <si>
    <t>TELEFONO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</si>
  <si>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</si>
  <si>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</si>
  <si>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</si>
  <si>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</si>
  <si>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</si>
  <si>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</si>
  <si>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</si>
  <si>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</si>
  <si>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</si>
  <si>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</si>
  <si>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</si>
  <si>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</si>
  <si>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CONTACTO</t>
  </si>
  <si>
    <t>CONTRATO</t>
  </si>
  <si>
    <t>X</t>
  </si>
  <si>
    <t>JARDINES</t>
  </si>
  <si>
    <t>FUMIGACIÓN</t>
  </si>
  <si>
    <t>x</t>
  </si>
  <si>
    <t>EXTINTORES</t>
  </si>
  <si>
    <t>REGISTRO MANTENCIÓN EQUIPOS EFECTUADAS</t>
  </si>
  <si>
    <t>CUADRO ESQUEMATICO DE MANTECIONES DE ESPACIOS COMUNES</t>
  </si>
  <si>
    <t>PARTIDA</t>
  </si>
  <si>
    <t>FRECUENCIA</t>
  </si>
  <si>
    <t>E</t>
  </si>
  <si>
    <t>F</t>
  </si>
  <si>
    <t>M</t>
  </si>
  <si>
    <t>A</t>
  </si>
  <si>
    <t>J</t>
  </si>
  <si>
    <t>S</t>
  </si>
  <si>
    <t>O</t>
  </si>
  <si>
    <t>N</t>
  </si>
  <si>
    <t>D</t>
  </si>
  <si>
    <t>INSTALACIONES SANITARIAS</t>
  </si>
  <si>
    <t>ESTANQUE DE AGUA </t>
  </si>
  <si>
    <t>CADA 2 AÑOS</t>
  </si>
  <si>
    <t>LIMPIAR</t>
  </si>
  <si>
    <t>PLANTA ELEVADORA</t>
  </si>
  <si>
    <t>CADA 2 MESES</t>
  </si>
  <si>
    <t>MANTENCION</t>
  </si>
  <si>
    <t>ALTERNADO DE BOMBAS</t>
  </si>
  <si>
    <t>CADA 2 SEMANAS</t>
  </si>
  <si>
    <t>ALTERNAR</t>
  </si>
  <si>
    <t>RED DE AGUA POTABLE</t>
  </si>
  <si>
    <t>REVISAR</t>
  </si>
  <si>
    <t>REMARCADORES (CONEXIONES)</t>
  </si>
  <si>
    <t>RED DE ALCANTARILLADO</t>
  </si>
  <si>
    <t>CAMARAS</t>
  </si>
  <si>
    <t>CADA 1 AÑO</t>
  </si>
  <si>
    <t>PLANTA ELEVADORA DE AGUAS SERVIDAS</t>
  </si>
  <si>
    <t>INSTALACIONES ELECTRICAS Y CORRIENTES DEBILES</t>
  </si>
  <si>
    <t>TABLEROS</t>
  </si>
  <si>
    <t>CADA 2 AÑOS </t>
  </si>
  <si>
    <t>REAPRETAR</t>
  </si>
  <si>
    <t>GRUPO GENERADOR (PARTIDA FORZADA)</t>
  </si>
  <si>
    <t>GRUPO GENERADOR</t>
  </si>
  <si>
    <t>ILUMINACION DE EMERGENCIA (AMPOLLETAS)</t>
  </si>
  <si>
    <t>CADA MES </t>
  </si>
  <si>
    <t>ILUMINACION DE EMERGENCIA (BATERIAS)</t>
  </si>
  <si>
    <t>CITOFONIA</t>
  </si>
  <si>
    <t>ALARMAS</t>
  </si>
  <si>
    <t>EXTRACCION FORZADA GENERAL</t>
  </si>
  <si>
    <t>CADA 6 MESES</t>
  </si>
  <si>
    <t>CALEFACCION</t>
  </si>
  <si>
    <t>CALDERA GENERAL</t>
  </si>
  <si>
    <t>VALVULAS Y REMARCADORES</t>
  </si>
  <si>
    <t>INSTALACION PREVENCION DE INCENDIO</t>
  </si>
  <si>
    <t>RED SECA</t>
  </si>
  <si>
    <t>RED HUMEDA</t>
  </si>
  <si>
    <t>ALARMA DE INCENDIO</t>
  </si>
  <si>
    <t>PRESURIZACION (PARTIDA FORZADA)</t>
  </si>
  <si>
    <t>CADA 2 MESES </t>
  </si>
  <si>
    <t>FUNCIONAR</t>
  </si>
  <si>
    <t>PRESURIZACION  </t>
  </si>
  <si>
    <t>SISTEMA DE RECOLECCION DE BASURA</t>
  </si>
  <si>
    <t>SALA DE BASURA (ASEO PROFUNDO)</t>
  </si>
  <si>
    <t>ASEO</t>
  </si>
  <si>
    <t>COMPACTADOR</t>
  </si>
  <si>
    <t>AGUAS LLUVIAS</t>
  </si>
  <si>
    <t>TECHUMBRE</t>
  </si>
  <si>
    <t>REVISAR Y RE SELLAR</t>
  </si>
  <si>
    <t>BAJADA DE AGUA</t>
  </si>
  <si>
    <t>DRENAJE (CAMARAS DECANTADORAS)</t>
  </si>
  <si>
    <t>CANALETAS Y REJILLAS</t>
  </si>
  <si>
    <t>PERMANENTE </t>
  </si>
  <si>
    <t>RIEGO AUTOMATICO (REGADORES)</t>
  </si>
  <si>
    <t>RIEGO AUTOMATICO   </t>
  </si>
  <si>
    <t>CADA 3 MESES</t>
  </si>
  <si>
    <t>REPROGRAMAR</t>
  </si>
  <si>
    <t>PAVIMENTO Y AGUAS LLUVIAS</t>
  </si>
  <si>
    <t>PAVIMENTOS</t>
  </si>
  <si>
    <t>CADA 3 AÑOS </t>
  </si>
  <si>
    <t>SUMIDEROS</t>
  </si>
  <si>
    <t>CAMARAS DECANTADORAS</t>
  </si>
  <si>
    <t>ILUMINACION</t>
  </si>
  <si>
    <t>AMPOLLETAS</t>
  </si>
  <si>
    <t>SEMANAL</t>
  </si>
  <si>
    <t>PINTURA, BARNICES Y PAPEL</t>
  </si>
  <si>
    <t>EXTERIORES </t>
  </si>
  <si>
    <t>PINTAR</t>
  </si>
  <si>
    <t>INTERIORES</t>
  </si>
  <si>
    <t>MADERAS</t>
  </si>
  <si>
    <t>ELEMENTOS METALICOS</t>
  </si>
  <si>
    <t>PAPEL MURAL</t>
  </si>
  <si>
    <t>PUERTAS Y VENTANAS (ELEMENTOS)</t>
  </si>
  <si>
    <t>AJUSTE</t>
  </si>
  <si>
    <t>QUINCALLERIA</t>
  </si>
  <si>
    <t>LUBRICAR</t>
  </si>
  <si>
    <t>SHAFT SANITARIOS</t>
  </si>
  <si>
    <t>LLAVES DE PASO</t>
  </si>
  <si>
    <t>MANTECION</t>
  </si>
  <si>
    <t>CAÑERIAS (VERTICALES)</t>
  </si>
  <si>
    <t>SELLOS, GOMAS Y FLEXIBLES DE BAÑOS CONSERJERIA</t>
  </si>
  <si>
    <t xml:space="preserve">PROGRAMA MANTENCIÓN DE LA INSTALACION DE EQUIPOS </t>
  </si>
  <si>
    <t>RUBRO</t>
  </si>
  <si>
    <t>MENSUAL</t>
  </si>
  <si>
    <t>ANUAL</t>
  </si>
  <si>
    <t>xxxx</t>
  </si>
  <si>
    <t>RUT</t>
  </si>
  <si>
    <t>INSTALACIONES</t>
  </si>
  <si>
    <t>MANTENCION EXTINTORES</t>
  </si>
  <si>
    <t>BOMBAS AGUA POTABLE</t>
  </si>
  <si>
    <t>ESTANQUES ACUMULADORES</t>
  </si>
  <si>
    <t>BOMBAS AGUAS SERVIDAS</t>
  </si>
  <si>
    <t>SISTEMA DE CAMARAS</t>
  </si>
  <si>
    <t>SISTEMA DE CITOFONIA</t>
  </si>
  <si>
    <t>CERCO ÉLECTRICO</t>
  </si>
  <si>
    <t>PORTON ÉLECTRICO</t>
  </si>
  <si>
    <t>TABLERO GENERAL</t>
  </si>
  <si>
    <t>SISTEMA ALARMAS INCENDIO</t>
  </si>
  <si>
    <t>SISTEMA ALARMAS ROBOS</t>
  </si>
  <si>
    <t>Construcciones Maria Susana Huanca Cordova EIRL</t>
  </si>
  <si>
    <t>Osvaldo Ortega</t>
  </si>
  <si>
    <t>RUT: 76.526.327-1</t>
  </si>
  <si>
    <t>9 4263 9673</t>
  </si>
  <si>
    <t>GRUPO ELECTRÓGENO</t>
  </si>
  <si>
    <t>COSTO MENSUAL</t>
  </si>
  <si>
    <t>SEMESTRAL</t>
  </si>
  <si>
    <t>PERIODO</t>
  </si>
  <si>
    <t xml:space="preserve">COSTO MANTENCIÓN DE LA INSTALACION DE EQUIPOS </t>
  </si>
  <si>
    <t>OBRAS CIVILES MENORES</t>
  </si>
  <si>
    <t>TOTAL GENERAL</t>
  </si>
  <si>
    <t>EXTRACTORES Y PRESURIZADOR</t>
  </si>
  <si>
    <t>CALDERA</t>
  </si>
  <si>
    <t>Luis Sepulveda</t>
  </si>
  <si>
    <t>9 9931 7362</t>
  </si>
  <si>
    <t>L y J   Reparaciones y Mantenciones.</t>
  </si>
  <si>
    <t>RUT: 76.266.311-2</t>
  </si>
  <si>
    <t>1° SEMANA JARDINES</t>
  </si>
  <si>
    <t>2° SEMANA JARDINES</t>
  </si>
  <si>
    <t>3° SEMANA JARDINES</t>
  </si>
  <si>
    <t>4° SEMANA JARDINES</t>
  </si>
  <si>
    <t>1° SEMANA PISCINA</t>
  </si>
  <si>
    <t>2° SEMANA PISCINA</t>
  </si>
  <si>
    <t>3° SEMANA PISCINA</t>
  </si>
  <si>
    <t>4° SEMANA PISCINA</t>
  </si>
  <si>
    <t>TRIMESTRAL</t>
  </si>
  <si>
    <t>COMUNIDAD CORDILLERA ADC</t>
  </si>
  <si>
    <t>ALONSO DE CORDOVA, LAS CONDES</t>
  </si>
  <si>
    <t>UF</t>
  </si>
  <si>
    <t>NO</t>
  </si>
  <si>
    <t>CERTIFICACIÓN INSTALACIONES DE GAS</t>
  </si>
  <si>
    <t>TEKNOGAS</t>
  </si>
  <si>
    <t>BIANUAL</t>
  </si>
  <si>
    <t>CONDOMINIO LOS FUNDADORES II - DON PEDRO</t>
  </si>
  <si>
    <t>CALETERA AMÉRICO VESPUCIO 2501, MAIPÚ</t>
  </si>
  <si>
    <t>SISTEMA DE CAMARAS CCTV</t>
  </si>
  <si>
    <t>SECURE-CHILE</t>
  </si>
  <si>
    <t>LUIS ALVAREZ</t>
  </si>
  <si>
    <t xml:space="preserve"> +569 6171 4651</t>
  </si>
  <si>
    <t>JUAN CACERES</t>
  </si>
  <si>
    <t xml:space="preserve"> +569 9343 7629</t>
  </si>
  <si>
    <t>FUMIGACIÓN - DESRATIZACIÓN</t>
  </si>
  <si>
    <t>SANIPLAGAS</t>
  </si>
  <si>
    <t>XIMENA MUÑOZ</t>
  </si>
  <si>
    <t>CAMARAS AGUAS SERVIDAS</t>
  </si>
  <si>
    <t>HVT</t>
  </si>
  <si>
    <t>PEDRO RIVAS</t>
  </si>
  <si>
    <t>RAFAEL ARANEDA</t>
  </si>
  <si>
    <t xml:space="preserve"> +569 8308 4774</t>
  </si>
  <si>
    <t>FIRECONTROL</t>
  </si>
  <si>
    <t xml:space="preserve"> +569 9879 5149</t>
  </si>
  <si>
    <t xml:space="preserve"> +569 8198 7093</t>
  </si>
  <si>
    <t>PRYMAVE</t>
  </si>
  <si>
    <t>SI</t>
  </si>
  <si>
    <t>EMERGENCIAS</t>
  </si>
  <si>
    <t>PROVEEDORES DE MANTENIMIENTO PREVENTIVO</t>
  </si>
  <si>
    <t>PODA DE ARBOLES</t>
  </si>
  <si>
    <t>EDGARDO CASAJUANA</t>
  </si>
  <si>
    <t xml:space="preserve"> +569 6310 3059</t>
  </si>
  <si>
    <t>CRISTIAN JIMENEZ</t>
  </si>
  <si>
    <t xml:space="preserve"> +569 7300 7728</t>
  </si>
  <si>
    <t>HACHES AUTOMATICOS</t>
  </si>
  <si>
    <t>PAUL HERRERA</t>
  </si>
  <si>
    <t xml:space="preserve"> +569 3210 1543</t>
  </si>
  <si>
    <t>BG S.P.A</t>
  </si>
  <si>
    <t>BERNARDO MONDON</t>
  </si>
  <si>
    <t xml:space="preserve"> + 569 9783 3342</t>
  </si>
  <si>
    <t>$40.000/Unidad</t>
  </si>
  <si>
    <t>0,36 UF/Casa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</si>
</sst>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 &quot;$&quot;* #,##0_ ;_ &quot;$&quot;* \-#,##0_ ;_ &quot;$&quot;* &quot;-&quot;_ ;_ @_ "/>
    <numFmt numFmtId="41" formatCode="_ * #,##0_ ;_ * \-#,##0_ ;_ * &quot;-&quot;_ ;_ @_ "/>
    <numFmt numFmtId="164" formatCode="_-[$$-340A]\ * #,##0_-;\-[$$-340A]\ * #,##0_-;_-[$$-340A]\ * &quot;-&quot;??_-;_-@_-"/>
  </numFmts>
  <fonts count="1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Abadi"/>
      <family val="2"/>
    </font>
    <font>
      <b/>
      <sz val="11"/>
      <color theme="1"/>
      <name val="Comic Sans MS"/>
      <family val="4"/>
    </font>
    <font>
      <b/>
      <u/>
      <sz val="12"/>
      <color theme="1"/>
      <name val="Century Gothic"/>
      <family val="2"/>
    </font>
    <font>
      <b/>
      <sz val="12"/>
      <color theme="1"/>
      <name val="Calibri"/>
      <family val="2"/>
      <scheme val="minor"/>
    </font>
    <font>
      <sz val="12"/>
      <color theme="1"/>
      <name val="Abadi"/>
      <family val="2"/>
    </font>
    <font>
      <sz val="10"/>
      <color theme="1"/>
      <name val="Segoe UI"/>
      <family val="2"/>
    </font>
    <font>
      <b/>
      <u/>
      <sz val="10"/>
      <color theme="1"/>
      <name val="Segoe UI"/>
      <family val="2"/>
    </font>
    <font>
      <b/>
      <sz val="10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2" fontId="7" fillId="0" borderId="0" applyFont="0" applyFill="0" applyBorder="0" applyAlignment="0" applyProtection="0"/>
    <xf numFmtId="41" fontId="7" fillId="0" borderId="0" applyFont="0" applyFill="0" applyBorder="0" applyAlignment="0" applyProtection="0"/>
  </cellStyleXfs>
  <cellXfs count="92">
    <xf numFmtId="0" fontId="0" fillId="0" borderId="0" xfId="0"/>
    <xf numFmtId="0" fontId="4" fillId="0" borderId="0" xfId="0" applyFont="1" applyBorder="1"/>
    <xf numFmtId="0" fontId="5" fillId="0" borderId="0" xfId="0" applyFont="1" applyBorder="1"/>
    <xf numFmtId="0" fontId="5" fillId="0" borderId="4" xfId="0" applyFont="1" applyBorder="1" applyAlignment="1">
      <alignment horizontal="center"/>
    </xf>
    <xf numFmtId="0" fontId="4" fillId="0" borderId="4" xfId="0" applyFont="1" applyFill="1" applyBorder="1"/>
    <xf numFmtId="0" fontId="4" fillId="0" borderId="4" xfId="0" applyFont="1" applyBorder="1"/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0" borderId="4" xfId="0" applyFont="1" applyBorder="1" applyAlignment="1">
      <alignment horizontal="right"/>
    </xf>
    <xf numFmtId="0" fontId="4" fillId="0" borderId="4" xfId="0" applyFont="1" applyBorder="1" applyAlignment="1">
      <alignment horizontal="left"/>
    </xf>
    <xf numFmtId="0" fontId="5" fillId="0" borderId="5" xfId="0" applyFont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/>
    <xf numFmtId="14" fontId="9" fillId="0" borderId="4" xfId="0" applyNumberFormat="1" applyFont="1" applyBorder="1"/>
    <xf numFmtId="14" fontId="9" fillId="0" borderId="6" xfId="0" applyNumberFormat="1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49" fontId="4" fillId="0" borderId="0" xfId="0" applyNumberFormat="1" applyFont="1" applyBorder="1" applyAlignment="1">
      <alignment horizontal="right"/>
    </xf>
    <xf numFmtId="49" fontId="5" fillId="0" borderId="4" xfId="0" applyNumberFormat="1" applyFont="1" applyBorder="1" applyAlignment="1">
      <alignment horizontal="right"/>
    </xf>
    <xf numFmtId="49" fontId="4" fillId="0" borderId="4" xfId="0" applyNumberFormat="1" applyFont="1" applyFill="1" applyBorder="1" applyAlignment="1">
      <alignment horizontal="right"/>
    </xf>
    <xf numFmtId="0" fontId="10" fillId="0" borderId="0" xfId="0" applyFont="1" applyBorder="1"/>
    <xf numFmtId="0" fontId="4" fillId="0" borderId="4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 wrapText="1"/>
    </xf>
    <xf numFmtId="0" fontId="5" fillId="2" borderId="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left" wrapText="1"/>
    </xf>
    <xf numFmtId="0" fontId="4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1" fillId="0" borderId="4" xfId="0" applyFont="1" applyBorder="1"/>
    <xf numFmtId="14" fontId="11" fillId="0" borderId="4" xfId="0" applyNumberFormat="1" applyFont="1" applyBorder="1"/>
    <xf numFmtId="41" fontId="8" fillId="0" borderId="4" xfId="26" applyFont="1" applyBorder="1" applyAlignment="1">
      <alignment horizontal="center" vertical="center"/>
    </xf>
    <xf numFmtId="0" fontId="8" fillId="0" borderId="4" xfId="0" applyFont="1" applyBorder="1"/>
    <xf numFmtId="41" fontId="8" fillId="0" borderId="4" xfId="0" applyNumberFormat="1" applyFont="1" applyBorder="1"/>
    <xf numFmtId="41" fontId="8" fillId="0" borderId="7" xfId="0" applyNumberFormat="1" applyFont="1" applyBorder="1"/>
    <xf numFmtId="41" fontId="8" fillId="0" borderId="9" xfId="0" applyNumberFormat="1" applyFont="1" applyBorder="1"/>
    <xf numFmtId="41" fontId="8" fillId="0" borderId="12" xfId="0" applyNumberFormat="1" applyFont="1" applyBorder="1"/>
    <xf numFmtId="41" fontId="8" fillId="0" borderId="4" xfId="26" applyFont="1" applyFill="1" applyBorder="1" applyAlignment="1">
      <alignment horizontal="center" vertical="center"/>
    </xf>
    <xf numFmtId="0" fontId="12" fillId="0" borderId="4" xfId="0" applyFont="1" applyBorder="1"/>
    <xf numFmtId="49" fontId="12" fillId="0" borderId="4" xfId="0" applyNumberFormat="1" applyFont="1" applyFill="1" applyBorder="1" applyAlignment="1">
      <alignment horizontal="right"/>
    </xf>
    <xf numFmtId="0" fontId="12" fillId="0" borderId="4" xfId="0" applyFont="1" applyFill="1" applyBorder="1" applyAlignment="1">
      <alignment horizontal="center"/>
    </xf>
    <xf numFmtId="0" fontId="12" fillId="0" borderId="0" xfId="0" applyFont="1"/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41" fontId="8" fillId="0" borderId="9" xfId="26" applyFont="1" applyBorder="1" applyAlignment="1">
      <alignment horizontal="center" vertical="center"/>
    </xf>
    <xf numFmtId="41" fontId="8" fillId="0" borderId="10" xfId="26" applyFont="1" applyBorder="1" applyAlignment="1">
      <alignment horizontal="center" vertical="center"/>
    </xf>
    <xf numFmtId="41" fontId="8" fillId="0" borderId="11" xfId="26" applyFont="1" applyBorder="1" applyAlignment="1">
      <alignment horizontal="center" vertical="center"/>
    </xf>
    <xf numFmtId="41" fontId="8" fillId="0" borderId="9" xfId="0" applyNumberFormat="1" applyFont="1" applyBorder="1" applyAlignment="1">
      <alignment horizontal="center" vertical="center"/>
    </xf>
    <xf numFmtId="41" fontId="8" fillId="0" borderId="10" xfId="0" applyNumberFormat="1" applyFont="1" applyBorder="1" applyAlignment="1">
      <alignment horizontal="center" vertical="center"/>
    </xf>
    <xf numFmtId="41" fontId="8" fillId="0" borderId="11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13" fillId="0" borderId="0" xfId="0" applyFont="1" applyBorder="1"/>
    <xf numFmtId="0" fontId="14" fillId="0" borderId="0" xfId="0" applyFont="1" applyBorder="1"/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vertical="center"/>
    </xf>
    <xf numFmtId="14" fontId="13" fillId="0" borderId="0" xfId="0" applyNumberFormat="1" applyFont="1" applyBorder="1"/>
    <xf numFmtId="0" fontId="15" fillId="0" borderId="0" xfId="0" applyFont="1" applyBorder="1"/>
    <xf numFmtId="0" fontId="15" fillId="2" borderId="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vertical="center"/>
    </xf>
    <xf numFmtId="0" fontId="15" fillId="2" borderId="4" xfId="0" applyFont="1" applyFill="1" applyBorder="1" applyAlignment="1">
      <alignment horizontal="center" vertical="center" wrapText="1"/>
    </xf>
    <xf numFmtId="14" fontId="15" fillId="2" borderId="4" xfId="0" applyNumberFormat="1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left" wrapText="1"/>
    </xf>
    <xf numFmtId="0" fontId="13" fillId="0" borderId="4" xfId="0" applyFont="1" applyFill="1" applyBorder="1" applyAlignment="1">
      <alignment vertical="center"/>
    </xf>
    <xf numFmtId="14" fontId="13" fillId="0" borderId="4" xfId="0" applyNumberFormat="1" applyFont="1" applyFill="1" applyBorder="1" applyAlignment="1">
      <alignment horizontal="center" vertical="center"/>
    </xf>
    <xf numFmtId="14" fontId="13" fillId="0" borderId="4" xfId="0" applyNumberFormat="1" applyFont="1" applyFill="1" applyBorder="1" applyAlignment="1">
      <alignment vertical="center"/>
    </xf>
    <xf numFmtId="0" fontId="13" fillId="0" borderId="11" xfId="0" applyFont="1" applyFill="1" applyBorder="1" applyAlignment="1">
      <alignment vertical="center"/>
    </xf>
    <xf numFmtId="14" fontId="13" fillId="0" borderId="11" xfId="0" applyNumberFormat="1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vertical="center" wrapText="1"/>
    </xf>
    <xf numFmtId="164" fontId="13" fillId="0" borderId="11" xfId="25" applyNumberFormat="1" applyFont="1" applyFill="1" applyBorder="1" applyAlignment="1">
      <alignment vertical="center"/>
    </xf>
    <xf numFmtId="14" fontId="13" fillId="0" borderId="11" xfId="0" applyNumberFormat="1" applyFont="1" applyFill="1" applyBorder="1" applyAlignment="1">
      <alignment vertical="center"/>
    </xf>
    <xf numFmtId="0" fontId="13" fillId="0" borderId="4" xfId="0" applyFont="1" applyFill="1" applyBorder="1" applyAlignment="1">
      <alignment horizontal="left" vertical="center"/>
    </xf>
    <xf numFmtId="0" fontId="13" fillId="0" borderId="4" xfId="0" applyFont="1" applyFill="1" applyBorder="1" applyAlignment="1">
      <alignment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left" vertical="center" wrapText="1"/>
    </xf>
    <xf numFmtId="164" fontId="13" fillId="0" borderId="4" xfId="25" applyNumberFormat="1" applyFont="1" applyFill="1" applyBorder="1" applyAlignment="1">
      <alignment horizontal="left"/>
    </xf>
    <xf numFmtId="0" fontId="13" fillId="0" borderId="9" xfId="0" applyFont="1" applyFill="1" applyBorder="1" applyAlignment="1">
      <alignment horizontal="center" vertical="center"/>
    </xf>
    <xf numFmtId="0" fontId="13" fillId="0" borderId="4" xfId="0" applyFont="1" applyBorder="1"/>
    <xf numFmtId="0" fontId="13" fillId="0" borderId="4" xfId="0" applyFont="1" applyFill="1" applyBorder="1" applyAlignment="1">
      <alignment horizontal="left"/>
    </xf>
    <xf numFmtId="0" fontId="13" fillId="0" borderId="4" xfId="0" applyFont="1" applyFill="1" applyBorder="1" applyAlignment="1">
      <alignment horizontal="center"/>
    </xf>
    <xf numFmtId="164" fontId="13" fillId="0" borderId="4" xfId="25" applyNumberFormat="1" applyFont="1" applyFill="1" applyBorder="1" applyAlignment="1">
      <alignment vertical="center"/>
    </xf>
    <xf numFmtId="0" fontId="13" fillId="0" borderId="0" xfId="0" applyFont="1" applyFill="1" applyBorder="1"/>
    <xf numFmtId="0" fontId="13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horizontal="right"/>
    </xf>
  </cellXfs>
  <cellStyles count="2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Millares [0]" xfId="26" builtinId="6"/>
    <cellStyle name="Moneda [0]" xfId="25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119063</xdr:colOff>
      <xdr:row>1</xdr:row>
      <xdr:rowOff>31661</xdr:rowOff>
    </xdr:from>
    <xdr:to>
      <xdr:col>14</xdr:col>
      <xdr:colOff>876830</xdr:colOff>
      <xdr:row>4</xdr:row>
      <xdr:rowOff>16139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CDE04AF-7CFB-499B-A59C-29191609D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85219" y="234067"/>
          <a:ext cx="1805517" cy="6036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952501</xdr:colOff>
      <xdr:row>1</xdr:row>
      <xdr:rowOff>19755</xdr:rowOff>
    </xdr:from>
    <xdr:to>
      <xdr:col>8</xdr:col>
      <xdr:colOff>19051</xdr:colOff>
      <xdr:row>4</xdr:row>
      <xdr:rowOff>42333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A0C1242-CC9F-4676-9D68-00EC68796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0226" y="219780"/>
          <a:ext cx="1504950" cy="6321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2:O29"/>
  <sheetViews>
    <sheetView showGridLines="0" tabSelected="1" zoomScale="80" zoomScaleNormal="80" workbookViewId="0">
      <selection activeCell="D18" sqref="D18"/>
    </sheetView>
  </sheetViews>
  <sheetFormatPr baseColWidth="10" defaultColWidth="10.85546875" defaultRowHeight="14.25" x14ac:dyDescent="0.25"/>
  <cols>
    <col min="1" max="1" width="4.140625" style="57" customWidth="1"/>
    <col min="2" max="2" width="16.42578125" style="57" customWidth="1"/>
    <col min="3" max="3" width="48.140625" style="57" bestFit="1" customWidth="1"/>
    <col min="4" max="4" width="52.42578125" style="57" bestFit="1" customWidth="1"/>
    <col min="5" max="5" width="22.28515625" style="57" bestFit="1" customWidth="1"/>
    <col min="6" max="6" width="16" style="60" bestFit="1" customWidth="1"/>
    <col min="7" max="7" width="16" style="57" bestFit="1" customWidth="1"/>
    <col min="8" max="8" width="11.7109375" style="59" bestFit="1" customWidth="1"/>
    <col min="9" max="9" width="14.85546875" style="61" customWidth="1"/>
    <col min="10" max="10" width="14" style="57" customWidth="1"/>
    <col min="11" max="14" width="10.85546875" style="57"/>
    <col min="15" max="15" width="12.85546875" style="57" bestFit="1" customWidth="1"/>
    <col min="16" max="16384" width="10.85546875" style="57"/>
  </cols>
  <sheetData>
    <row r="2" spans="2:15" x14ac:dyDescent="0.25">
      <c r="B2" s="58" t="s">
        <v>170</v>
      </c>
      <c r="C2" s="58"/>
    </row>
    <row r="3" spans="2:15" x14ac:dyDescent="0.25">
      <c r="B3" s="58" t="s">
        <v>171</v>
      </c>
      <c r="C3" s="58"/>
      <c r="D3" s="58" t="s">
        <v>192</v>
      </c>
    </row>
    <row r="4" spans="2:15" x14ac:dyDescent="0.25">
      <c r="B4" s="58"/>
      <c r="C4" s="58"/>
    </row>
    <row r="6" spans="2:15" s="62" customFormat="1" ht="28.5" x14ac:dyDescent="0.25">
      <c r="B6" s="63" t="s">
        <v>144</v>
      </c>
      <c r="C6" s="63" t="s">
        <v>125</v>
      </c>
      <c r="D6" s="64" t="s">
        <v>5</v>
      </c>
      <c r="E6" s="64" t="s">
        <v>19</v>
      </c>
      <c r="F6" s="65" t="s">
        <v>6</v>
      </c>
      <c r="G6" s="66" t="s">
        <v>4</v>
      </c>
      <c r="H6" s="64" t="s">
        <v>20</v>
      </c>
      <c r="I6" s="67" t="s">
        <v>2</v>
      </c>
      <c r="J6" s="64" t="s">
        <v>3</v>
      </c>
      <c r="O6" s="68" t="s">
        <v>165</v>
      </c>
    </row>
    <row r="7" spans="2:15" ht="20.100000000000001" customHeight="1" x14ac:dyDescent="0.25">
      <c r="B7" s="69" t="s">
        <v>191</v>
      </c>
      <c r="C7" s="70" t="s">
        <v>172</v>
      </c>
      <c r="D7" s="71" t="s">
        <v>173</v>
      </c>
      <c r="E7" s="73" t="s">
        <v>174</v>
      </c>
      <c r="F7" s="73" t="s">
        <v>175</v>
      </c>
      <c r="G7" s="73"/>
      <c r="H7" s="72" t="s">
        <v>166</v>
      </c>
      <c r="I7" s="73"/>
      <c r="J7" s="73"/>
    </row>
    <row r="8" spans="2:15" ht="20.100000000000001" customHeight="1" x14ac:dyDescent="0.25">
      <c r="B8" s="69"/>
      <c r="C8" s="70" t="s">
        <v>131</v>
      </c>
      <c r="D8" s="71" t="s">
        <v>176</v>
      </c>
      <c r="E8" s="73" t="s">
        <v>176</v>
      </c>
      <c r="F8" s="73" t="s">
        <v>177</v>
      </c>
      <c r="G8" s="73"/>
      <c r="H8" s="72" t="s">
        <v>166</v>
      </c>
      <c r="I8" s="73"/>
      <c r="J8" s="73"/>
    </row>
    <row r="9" spans="2:15" ht="20.100000000000001" customHeight="1" x14ac:dyDescent="0.25">
      <c r="B9" s="69"/>
      <c r="C9" s="70" t="s">
        <v>133</v>
      </c>
      <c r="D9" s="74" t="s">
        <v>198</v>
      </c>
      <c r="E9" s="74" t="s">
        <v>199</v>
      </c>
      <c r="F9" s="76" t="s">
        <v>200</v>
      </c>
      <c r="G9" s="77"/>
      <c r="H9" s="75" t="s">
        <v>166</v>
      </c>
      <c r="I9" s="78"/>
      <c r="J9" s="74"/>
    </row>
    <row r="10" spans="2:15" ht="20.100000000000001" customHeight="1" x14ac:dyDescent="0.25">
      <c r="B10" s="81" t="s">
        <v>102</v>
      </c>
      <c r="C10" s="82" t="s">
        <v>22</v>
      </c>
      <c r="D10" s="79" t="s">
        <v>189</v>
      </c>
      <c r="E10" s="79" t="s">
        <v>194</v>
      </c>
      <c r="F10" s="71" t="s">
        <v>195</v>
      </c>
      <c r="G10" s="83">
        <v>1071000</v>
      </c>
      <c r="H10" s="72" t="s">
        <v>190</v>
      </c>
      <c r="I10" s="73">
        <v>44453</v>
      </c>
      <c r="J10" s="73">
        <v>44818</v>
      </c>
    </row>
    <row r="11" spans="2:15" ht="20.100000000000001" customHeight="1" x14ac:dyDescent="0.25">
      <c r="B11" s="84" t="s">
        <v>162</v>
      </c>
      <c r="C11" s="85" t="s">
        <v>178</v>
      </c>
      <c r="D11" s="86" t="s">
        <v>179</v>
      </c>
      <c r="E11" s="71" t="s">
        <v>180</v>
      </c>
      <c r="F11" s="71" t="s">
        <v>185</v>
      </c>
      <c r="G11" s="88">
        <v>285600</v>
      </c>
      <c r="H11" s="87" t="s">
        <v>166</v>
      </c>
      <c r="I11" s="73"/>
      <c r="J11" s="73"/>
    </row>
    <row r="12" spans="2:15" ht="20.100000000000001" customHeight="1" x14ac:dyDescent="0.25">
      <c r="B12" s="81" t="s">
        <v>143</v>
      </c>
      <c r="C12" s="79" t="s">
        <v>181</v>
      </c>
      <c r="D12" s="71" t="s">
        <v>182</v>
      </c>
      <c r="E12" s="71" t="s">
        <v>183</v>
      </c>
      <c r="F12" s="80" t="s">
        <v>187</v>
      </c>
      <c r="G12" s="88">
        <v>468000</v>
      </c>
      <c r="H12" s="72" t="s">
        <v>166</v>
      </c>
      <c r="I12" s="73"/>
      <c r="J12" s="73"/>
    </row>
    <row r="13" spans="2:15" ht="20.100000000000001" customHeight="1" x14ac:dyDescent="0.25">
      <c r="B13" s="81" t="s">
        <v>122</v>
      </c>
      <c r="C13" s="85" t="s">
        <v>126</v>
      </c>
      <c r="D13" s="71" t="s">
        <v>186</v>
      </c>
      <c r="E13" s="71" t="s">
        <v>196</v>
      </c>
      <c r="F13" s="80" t="s">
        <v>197</v>
      </c>
      <c r="G13" s="88">
        <v>76755</v>
      </c>
      <c r="H13" s="72" t="s">
        <v>166</v>
      </c>
      <c r="I13" s="73"/>
      <c r="J13" s="73"/>
    </row>
    <row r="14" spans="2:15" ht="20.100000000000001" customHeight="1" x14ac:dyDescent="0.25">
      <c r="B14" s="81" t="s">
        <v>122</v>
      </c>
      <c r="C14" s="85" t="s">
        <v>193</v>
      </c>
      <c r="D14" s="71" t="s">
        <v>201</v>
      </c>
      <c r="E14" s="71" t="s">
        <v>202</v>
      </c>
      <c r="F14" s="71" t="s">
        <v>203</v>
      </c>
      <c r="G14" s="88" t="s">
        <v>204</v>
      </c>
      <c r="H14" s="72" t="s">
        <v>166</v>
      </c>
      <c r="I14" s="73"/>
      <c r="J14" s="73"/>
    </row>
    <row r="15" spans="2:15" ht="20.100000000000001" customHeight="1" x14ac:dyDescent="0.25">
      <c r="B15" s="81" t="s">
        <v>169</v>
      </c>
      <c r="C15" s="85" t="s">
        <v>167</v>
      </c>
      <c r="D15" s="71" t="s">
        <v>168</v>
      </c>
      <c r="E15" s="71" t="s">
        <v>184</v>
      </c>
      <c r="F15" s="80" t="s">
        <v>188</v>
      </c>
      <c r="G15" s="88" t="s">
        <v>205</v>
      </c>
      <c r="H15" s="72" t="s">
        <v>166</v>
      </c>
      <c r="I15" s="73"/>
      <c r="J15" s="73"/>
    </row>
    <row r="16" spans="2:15" ht="24.95" customHeight="1" x14ac:dyDescent="0.25"/>
    <row r="17" spans="5:7" ht="24.95" customHeight="1" x14ac:dyDescent="0.25">
      <c r="E17" s="89"/>
      <c r="F17" s="90"/>
      <c r="G17" s="91"/>
    </row>
    <row r="18" spans="5:7" ht="24.95" customHeight="1" x14ac:dyDescent="0.25"/>
    <row r="19" spans="5:7" ht="24.95" customHeight="1" x14ac:dyDescent="0.25"/>
    <row r="20" spans="5:7" ht="24.95" customHeight="1" x14ac:dyDescent="0.25"/>
    <row r="21" spans="5:7" ht="24.95" customHeight="1" x14ac:dyDescent="0.25"/>
    <row r="22" spans="5:7" ht="24.95" customHeight="1" x14ac:dyDescent="0.25"/>
    <row r="23" spans="5:7" ht="24.95" customHeight="1" x14ac:dyDescent="0.25"/>
    <row r="24" spans="5:7" ht="24.95" customHeight="1" x14ac:dyDescent="0.25"/>
    <row r="25" spans="5:7" ht="24.95" customHeight="1" x14ac:dyDescent="0.25"/>
    <row r="26" spans="5:7" ht="24.95" customHeight="1" x14ac:dyDescent="0.25"/>
    <row r="27" spans="5:7" ht="24.95" customHeight="1" x14ac:dyDescent="0.25"/>
    <row r="28" spans="5:7" ht="24.95" customHeight="1" x14ac:dyDescent="0.25"/>
    <row r="29" spans="5:7" ht="24.95" customHeight="1" x14ac:dyDescent="0.25"/>
  </sheetData>
  <mergeCells count="1">
    <mergeCell ref="B7:B9"/>
  </mergeCells>
  <phoneticPr fontId="3" type="noConversion"/>
  <pageMargins left="0.7" right="0.7" top="0.75" bottom="0.75" header="0.3" footer="0.3"/>
  <pageSetup scale="5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F9BE3-D309-4B69-9ACB-8B5D01877B12}">
  <dimension ref="B2:P26"/>
  <sheetViews>
    <sheetView zoomScale="80" zoomScaleNormal="80" workbookViewId="0">
      <selection activeCell="G10" sqref="G10:G13"/>
    </sheetView>
  </sheetViews>
  <sheetFormatPr baseColWidth="10" defaultRowHeight="15" x14ac:dyDescent="0.25"/>
  <cols>
    <col min="2" max="2" width="16.42578125" bestFit="1" customWidth="1"/>
    <col min="3" max="3" width="37.28515625" bestFit="1" customWidth="1"/>
    <col min="4" max="15" width="20.28515625" bestFit="1" customWidth="1"/>
    <col min="16" max="16" width="22.42578125" bestFit="1" customWidth="1"/>
  </cols>
  <sheetData>
    <row r="2" spans="2:16" ht="15.75" x14ac:dyDescent="0.25">
      <c r="B2" s="24" t="s">
        <v>163</v>
      </c>
    </row>
    <row r="3" spans="2:16" ht="15.75" x14ac:dyDescent="0.25">
      <c r="B3" s="24" t="s">
        <v>164</v>
      </c>
    </row>
    <row r="4" spans="2:16" ht="15.75" thickBot="1" x14ac:dyDescent="0.3"/>
    <row r="5" spans="2:16" ht="16.5" thickBot="1" x14ac:dyDescent="0.3">
      <c r="B5" s="54" t="s">
        <v>145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6"/>
      <c r="P5" s="2"/>
    </row>
    <row r="6" spans="2:16" ht="15.75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1"/>
    </row>
    <row r="7" spans="2:16" ht="15.75" x14ac:dyDescent="0.25">
      <c r="B7" s="27" t="s">
        <v>144</v>
      </c>
      <c r="C7" s="27" t="s">
        <v>125</v>
      </c>
      <c r="D7" s="9" t="s">
        <v>8</v>
      </c>
      <c r="E7" s="9" t="s">
        <v>9</v>
      </c>
      <c r="F7" s="9" t="s">
        <v>10</v>
      </c>
      <c r="G7" s="9" t="s">
        <v>11</v>
      </c>
      <c r="H7" s="9" t="s">
        <v>12</v>
      </c>
      <c r="I7" s="9" t="s">
        <v>13</v>
      </c>
      <c r="J7" s="9" t="s">
        <v>14</v>
      </c>
      <c r="K7" s="9" t="s">
        <v>15</v>
      </c>
      <c r="L7" s="9" t="s">
        <v>16</v>
      </c>
      <c r="M7" s="9" t="s">
        <v>17</v>
      </c>
      <c r="N7" s="9" t="s">
        <v>18</v>
      </c>
      <c r="O7" s="9" t="s">
        <v>7</v>
      </c>
      <c r="P7" s="9" t="s">
        <v>147</v>
      </c>
    </row>
    <row r="8" spans="2:16" ht="24.95" customHeight="1" x14ac:dyDescent="0.3">
      <c r="B8" s="45" t="s">
        <v>121</v>
      </c>
      <c r="C8" s="4" t="s">
        <v>0</v>
      </c>
      <c r="D8" s="34">
        <v>1045523</v>
      </c>
      <c r="E8" s="34">
        <v>1045523</v>
      </c>
      <c r="F8" s="34">
        <v>1045523</v>
      </c>
      <c r="G8" s="34">
        <v>1045523</v>
      </c>
      <c r="H8" s="34">
        <v>1045523</v>
      </c>
      <c r="I8" s="34">
        <v>1045523</v>
      </c>
      <c r="J8" s="34">
        <v>1045523</v>
      </c>
      <c r="K8" s="34">
        <v>1045523</v>
      </c>
      <c r="L8" s="34">
        <v>1045523</v>
      </c>
      <c r="M8" s="34">
        <v>1045523</v>
      </c>
      <c r="N8" s="34">
        <v>1045523</v>
      </c>
      <c r="O8" s="34">
        <v>1045523</v>
      </c>
      <c r="P8" s="36">
        <f>SUM(D8:O8)</f>
        <v>12546276</v>
      </c>
    </row>
    <row r="9" spans="2:16" ht="24.95" customHeight="1" x14ac:dyDescent="0.3">
      <c r="B9" s="46"/>
      <c r="C9" s="26" t="s">
        <v>127</v>
      </c>
      <c r="D9" s="34">
        <v>85000</v>
      </c>
      <c r="E9" s="34">
        <v>85000</v>
      </c>
      <c r="F9" s="34">
        <v>85000</v>
      </c>
      <c r="G9" s="34">
        <v>85000</v>
      </c>
      <c r="H9" s="34">
        <v>85000</v>
      </c>
      <c r="I9" s="34">
        <v>85000</v>
      </c>
      <c r="J9" s="34">
        <v>85000</v>
      </c>
      <c r="K9" s="34">
        <v>85000</v>
      </c>
      <c r="L9" s="34">
        <v>85000</v>
      </c>
      <c r="M9" s="34">
        <v>85000</v>
      </c>
      <c r="N9" s="34">
        <v>85000</v>
      </c>
      <c r="O9" s="34">
        <v>85000</v>
      </c>
      <c r="P9" s="36">
        <f t="shared" ref="P9:P25" si="0">SUM(D9:O9)</f>
        <v>1020000</v>
      </c>
    </row>
    <row r="10" spans="2:16" ht="24.95" customHeight="1" x14ac:dyDescent="0.25">
      <c r="B10" s="46"/>
      <c r="C10" s="29" t="s">
        <v>130</v>
      </c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51">
        <f t="shared" si="0"/>
        <v>0</v>
      </c>
    </row>
    <row r="11" spans="2:16" ht="24.95" customHeight="1" x14ac:dyDescent="0.25">
      <c r="B11" s="46"/>
      <c r="C11" s="29" t="s">
        <v>131</v>
      </c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52"/>
    </row>
    <row r="12" spans="2:16" ht="24.95" customHeight="1" x14ac:dyDescent="0.25">
      <c r="B12" s="46"/>
      <c r="C12" s="29" t="s">
        <v>135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52"/>
    </row>
    <row r="13" spans="2:16" ht="24.95" customHeight="1" x14ac:dyDescent="0.25">
      <c r="B13" s="46"/>
      <c r="C13" s="29" t="s">
        <v>136</v>
      </c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3"/>
    </row>
    <row r="14" spans="2:16" ht="24.95" customHeight="1" x14ac:dyDescent="0.3">
      <c r="B14" s="46"/>
      <c r="C14" s="29" t="s">
        <v>132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6">
        <f t="shared" si="0"/>
        <v>0</v>
      </c>
    </row>
    <row r="15" spans="2:16" ht="24.95" customHeight="1" x14ac:dyDescent="0.3">
      <c r="B15" s="46"/>
      <c r="C15" s="29" t="s">
        <v>133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6">
        <f t="shared" si="0"/>
        <v>0</v>
      </c>
    </row>
    <row r="16" spans="2:16" ht="24.95" customHeight="1" x14ac:dyDescent="0.3">
      <c r="B16" s="46"/>
      <c r="C16" s="29" t="s">
        <v>149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36">
        <f t="shared" si="0"/>
        <v>0</v>
      </c>
    </row>
    <row r="17" spans="2:16" ht="24.95" customHeight="1" x14ac:dyDescent="0.3">
      <c r="B17" s="46"/>
      <c r="C17" s="4" t="s">
        <v>141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6">
        <f t="shared" si="0"/>
        <v>0</v>
      </c>
    </row>
    <row r="18" spans="2:16" ht="24.95" customHeight="1" x14ac:dyDescent="0.3">
      <c r="B18" s="46"/>
      <c r="C18" s="5" t="s">
        <v>23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6">
        <f t="shared" si="0"/>
        <v>0</v>
      </c>
    </row>
    <row r="19" spans="2:16" ht="24.95" customHeight="1" x14ac:dyDescent="0.3">
      <c r="B19" s="46"/>
      <c r="C19" s="26" t="s">
        <v>22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6">
        <f t="shared" si="0"/>
        <v>0</v>
      </c>
    </row>
    <row r="20" spans="2:16" ht="24.95" customHeight="1" x14ac:dyDescent="0.3">
      <c r="B20" s="47"/>
      <c r="C20" s="26" t="s">
        <v>1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6">
        <f t="shared" si="0"/>
        <v>0</v>
      </c>
    </row>
    <row r="21" spans="2:16" ht="24.95" customHeight="1" x14ac:dyDescent="0.3">
      <c r="B21" s="45" t="s">
        <v>143</v>
      </c>
      <c r="C21" s="4" t="s">
        <v>134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6">
        <f t="shared" si="0"/>
        <v>0</v>
      </c>
    </row>
    <row r="22" spans="2:16" ht="24.95" customHeight="1" x14ac:dyDescent="0.3">
      <c r="B22" s="47"/>
      <c r="C22" s="4" t="s">
        <v>148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6">
        <f t="shared" si="0"/>
        <v>0</v>
      </c>
    </row>
    <row r="23" spans="2:16" ht="24.95" customHeight="1" x14ac:dyDescent="0.3">
      <c r="B23" s="45" t="s">
        <v>122</v>
      </c>
      <c r="C23" s="25" t="s">
        <v>128</v>
      </c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6">
        <f t="shared" si="0"/>
        <v>0</v>
      </c>
    </row>
    <row r="24" spans="2:16" ht="24.95" customHeight="1" x14ac:dyDescent="0.3">
      <c r="B24" s="46"/>
      <c r="C24" s="25" t="s">
        <v>129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6">
        <f t="shared" si="0"/>
        <v>0</v>
      </c>
    </row>
    <row r="25" spans="2:16" ht="24.95" customHeight="1" thickBot="1" x14ac:dyDescent="0.35">
      <c r="B25" s="47"/>
      <c r="C25" s="5" t="s">
        <v>126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8">
        <f t="shared" si="0"/>
        <v>0</v>
      </c>
    </row>
    <row r="26" spans="2:16" ht="24.95" customHeight="1" thickBot="1" x14ac:dyDescent="0.35">
      <c r="B26" s="1"/>
      <c r="C26" s="35" t="s">
        <v>142</v>
      </c>
      <c r="D26" s="36">
        <f>SUM(D8:D25)</f>
        <v>1130523</v>
      </c>
      <c r="E26" s="36">
        <f t="shared" ref="E26:O26" si="1">SUM(E8:E25)</f>
        <v>1130523</v>
      </c>
      <c r="F26" s="36">
        <f t="shared" si="1"/>
        <v>1130523</v>
      </c>
      <c r="G26" s="36">
        <f t="shared" si="1"/>
        <v>1130523</v>
      </c>
      <c r="H26" s="36">
        <f t="shared" si="1"/>
        <v>1130523</v>
      </c>
      <c r="I26" s="36">
        <f t="shared" si="1"/>
        <v>1130523</v>
      </c>
      <c r="J26" s="36">
        <f t="shared" si="1"/>
        <v>1130523</v>
      </c>
      <c r="K26" s="36">
        <f t="shared" si="1"/>
        <v>1130523</v>
      </c>
      <c r="L26" s="36">
        <f t="shared" si="1"/>
        <v>1130523</v>
      </c>
      <c r="M26" s="36">
        <f t="shared" si="1"/>
        <v>1130523</v>
      </c>
      <c r="N26" s="36">
        <f t="shared" si="1"/>
        <v>1130523</v>
      </c>
      <c r="O26" s="37">
        <f t="shared" si="1"/>
        <v>1130523</v>
      </c>
      <c r="P26" s="39">
        <f>SUM(D26:O26)</f>
        <v>13566276</v>
      </c>
    </row>
  </sheetData>
  <mergeCells count="17">
    <mergeCell ref="P10:P13"/>
    <mergeCell ref="B21:B22"/>
    <mergeCell ref="B5:O5"/>
    <mergeCell ref="B8:B20"/>
    <mergeCell ref="D10:D13"/>
    <mergeCell ref="E10:E13"/>
    <mergeCell ref="F10:F13"/>
    <mergeCell ref="G10:G13"/>
    <mergeCell ref="H10:H13"/>
    <mergeCell ref="I10:I13"/>
    <mergeCell ref="J10:J13"/>
    <mergeCell ref="K10:K13"/>
    <mergeCell ref="B23:B25"/>
    <mergeCell ref="L10:L13"/>
    <mergeCell ref="M10:M13"/>
    <mergeCell ref="N10:N13"/>
    <mergeCell ref="O10:O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2:O57"/>
  <sheetViews>
    <sheetView showGridLines="0" topLeftCell="A4" zoomScale="70" zoomScaleNormal="70" workbookViewId="0">
      <selection activeCell="C11" sqref="C11"/>
    </sheetView>
  </sheetViews>
  <sheetFormatPr baseColWidth="10" defaultColWidth="11.42578125" defaultRowHeight="15.75" x14ac:dyDescent="0.25"/>
  <cols>
    <col min="1" max="1" width="4.28515625" style="6" customWidth="1"/>
    <col min="2" max="2" width="36.5703125" style="6" bestFit="1" customWidth="1"/>
    <col min="3" max="3" width="37" style="6" bestFit="1" customWidth="1"/>
    <col min="4" max="6" width="15.7109375" style="6" customWidth="1"/>
    <col min="7" max="7" width="20" style="6" bestFit="1" customWidth="1"/>
    <col min="8" max="15" width="15.7109375" style="6" customWidth="1"/>
    <col min="16" max="16384" width="11.42578125" style="6"/>
  </cols>
  <sheetData>
    <row r="2" spans="2:15" x14ac:dyDescent="0.25">
      <c r="B2" s="24" t="s">
        <v>163</v>
      </c>
      <c r="D2" s="1"/>
      <c r="E2" s="1"/>
      <c r="F2" s="8"/>
      <c r="G2" s="1"/>
      <c r="H2" s="8"/>
      <c r="I2" s="1"/>
    </row>
    <row r="3" spans="2:15" x14ac:dyDescent="0.25">
      <c r="B3" s="24" t="s">
        <v>164</v>
      </c>
      <c r="D3" s="1"/>
      <c r="E3" s="1"/>
      <c r="F3" s="8"/>
      <c r="G3" s="1"/>
      <c r="H3" s="8"/>
      <c r="I3" s="1"/>
    </row>
    <row r="4" spans="2:15" ht="16.5" customHeight="1" x14ac:dyDescent="0.25">
      <c r="B4" s="1"/>
      <c r="C4" s="24"/>
      <c r="D4" s="1"/>
      <c r="E4" s="1"/>
      <c r="F4" s="8"/>
      <c r="G4" s="1"/>
      <c r="H4" s="8"/>
      <c r="I4" s="1"/>
    </row>
    <row r="5" spans="2:15" ht="16.5" customHeight="1" x14ac:dyDescent="0.25">
      <c r="B5" s="1"/>
      <c r="C5" s="24"/>
      <c r="D5" s="1"/>
      <c r="E5" s="1"/>
      <c r="F5" s="8"/>
      <c r="G5" s="1"/>
      <c r="H5" s="8"/>
      <c r="I5" s="1"/>
    </row>
    <row r="6" spans="2:15" ht="16.5" thickBot="1" x14ac:dyDescent="0.3">
      <c r="B6" s="1"/>
      <c r="C6" s="1"/>
      <c r="D6" s="1"/>
      <c r="E6" s="1"/>
      <c r="F6" s="8"/>
      <c r="G6" s="1"/>
      <c r="H6" s="8"/>
      <c r="I6" s="1"/>
    </row>
    <row r="7" spans="2:15" ht="16.5" thickBot="1" x14ac:dyDescent="0.3">
      <c r="B7" s="54" t="s">
        <v>119</v>
      </c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6"/>
    </row>
    <row r="9" spans="2:15" s="7" customFormat="1" x14ac:dyDescent="0.25">
      <c r="B9" s="27" t="s">
        <v>144</v>
      </c>
      <c r="C9" s="27" t="s">
        <v>125</v>
      </c>
      <c r="D9" s="9" t="s">
        <v>8</v>
      </c>
      <c r="E9" s="9" t="s">
        <v>9</v>
      </c>
      <c r="F9" s="9" t="s">
        <v>10</v>
      </c>
      <c r="G9" s="9" t="s">
        <v>11</v>
      </c>
      <c r="H9" s="9" t="s">
        <v>12</v>
      </c>
      <c r="I9" s="9" t="s">
        <v>13</v>
      </c>
      <c r="J9" s="9" t="s">
        <v>14</v>
      </c>
      <c r="K9" s="9" t="s">
        <v>15</v>
      </c>
      <c r="L9" s="9" t="s">
        <v>16</v>
      </c>
      <c r="M9" s="9" t="s">
        <v>17</v>
      </c>
      <c r="N9" s="9" t="s">
        <v>18</v>
      </c>
      <c r="O9" s="9" t="s">
        <v>7</v>
      </c>
    </row>
    <row r="10" spans="2:15" ht="21" customHeight="1" x14ac:dyDescent="0.25">
      <c r="B10" s="45" t="s">
        <v>121</v>
      </c>
      <c r="C10" s="4" t="s">
        <v>0</v>
      </c>
      <c r="D10" s="14" t="s">
        <v>24</v>
      </c>
      <c r="E10" s="14" t="s">
        <v>24</v>
      </c>
      <c r="F10" s="14" t="s">
        <v>24</v>
      </c>
      <c r="G10" s="14" t="s">
        <v>24</v>
      </c>
      <c r="H10" s="14" t="s">
        <v>24</v>
      </c>
      <c r="I10" s="14" t="s">
        <v>24</v>
      </c>
      <c r="J10" s="14" t="s">
        <v>24</v>
      </c>
      <c r="K10" s="14" t="s">
        <v>24</v>
      </c>
      <c r="L10" s="14" t="s">
        <v>24</v>
      </c>
      <c r="M10" s="14" t="s">
        <v>24</v>
      </c>
      <c r="N10" s="14" t="s">
        <v>24</v>
      </c>
      <c r="O10" s="14" t="s">
        <v>24</v>
      </c>
    </row>
    <row r="11" spans="2:15" ht="21" customHeight="1" x14ac:dyDescent="0.25">
      <c r="B11" s="46"/>
      <c r="C11" s="26" t="s">
        <v>127</v>
      </c>
      <c r="D11" s="14" t="s">
        <v>24</v>
      </c>
      <c r="E11" s="14" t="s">
        <v>24</v>
      </c>
      <c r="F11" s="14" t="s">
        <v>24</v>
      </c>
      <c r="G11" s="14" t="s">
        <v>24</v>
      </c>
      <c r="H11" s="14" t="s">
        <v>24</v>
      </c>
      <c r="I11" s="14" t="s">
        <v>24</v>
      </c>
      <c r="J11" s="14" t="s">
        <v>24</v>
      </c>
      <c r="K11" s="14" t="s">
        <v>24</v>
      </c>
      <c r="L11" s="14" t="s">
        <v>24</v>
      </c>
      <c r="M11" s="14" t="s">
        <v>24</v>
      </c>
      <c r="N11" s="14" t="s">
        <v>24</v>
      </c>
      <c r="O11" s="14" t="s">
        <v>24</v>
      </c>
    </row>
    <row r="12" spans="2:15" ht="21" customHeight="1" x14ac:dyDescent="0.25">
      <c r="B12" s="46"/>
      <c r="C12" s="29" t="s">
        <v>130</v>
      </c>
      <c r="D12" s="14" t="s">
        <v>24</v>
      </c>
      <c r="E12" s="14" t="s">
        <v>24</v>
      </c>
      <c r="F12" s="14" t="s">
        <v>24</v>
      </c>
      <c r="G12" s="14" t="s">
        <v>24</v>
      </c>
      <c r="H12" s="14" t="s">
        <v>24</v>
      </c>
      <c r="I12" s="14" t="s">
        <v>24</v>
      </c>
      <c r="J12" s="14" t="s">
        <v>24</v>
      </c>
      <c r="K12" s="14" t="s">
        <v>24</v>
      </c>
      <c r="L12" s="14" t="s">
        <v>24</v>
      </c>
      <c r="M12" s="14" t="s">
        <v>24</v>
      </c>
      <c r="N12" s="14" t="s">
        <v>24</v>
      </c>
      <c r="O12" s="14" t="s">
        <v>24</v>
      </c>
    </row>
    <row r="13" spans="2:15" ht="21" customHeight="1" x14ac:dyDescent="0.25">
      <c r="B13" s="46"/>
      <c r="C13" s="29" t="s">
        <v>131</v>
      </c>
      <c r="D13" s="14" t="s">
        <v>24</v>
      </c>
      <c r="E13" s="14" t="s">
        <v>24</v>
      </c>
      <c r="F13" s="14" t="s">
        <v>24</v>
      </c>
      <c r="G13" s="14" t="s">
        <v>24</v>
      </c>
      <c r="H13" s="14" t="s">
        <v>24</v>
      </c>
      <c r="I13" s="14" t="s">
        <v>24</v>
      </c>
      <c r="J13" s="14" t="s">
        <v>24</v>
      </c>
      <c r="K13" s="14" t="s">
        <v>24</v>
      </c>
      <c r="L13" s="14" t="s">
        <v>24</v>
      </c>
      <c r="M13" s="14" t="s">
        <v>24</v>
      </c>
      <c r="N13" s="14" t="s">
        <v>24</v>
      </c>
      <c r="O13" s="14" t="s">
        <v>24</v>
      </c>
    </row>
    <row r="14" spans="2:15" ht="21" customHeight="1" x14ac:dyDescent="0.25">
      <c r="B14" s="46"/>
      <c r="C14" s="29" t="s">
        <v>135</v>
      </c>
      <c r="D14" s="14" t="s">
        <v>24</v>
      </c>
      <c r="E14" s="14" t="s">
        <v>24</v>
      </c>
      <c r="F14" s="14" t="s">
        <v>24</v>
      </c>
      <c r="G14" s="14" t="s">
        <v>24</v>
      </c>
      <c r="H14" s="14" t="s">
        <v>24</v>
      </c>
      <c r="I14" s="14" t="s">
        <v>24</v>
      </c>
      <c r="J14" s="14" t="s">
        <v>24</v>
      </c>
      <c r="K14" s="14" t="s">
        <v>24</v>
      </c>
      <c r="L14" s="14" t="s">
        <v>24</v>
      </c>
      <c r="M14" s="14" t="s">
        <v>24</v>
      </c>
      <c r="N14" s="14" t="s">
        <v>24</v>
      </c>
      <c r="O14" s="14" t="s">
        <v>24</v>
      </c>
    </row>
    <row r="15" spans="2:15" ht="20.25" x14ac:dyDescent="0.25">
      <c r="B15" s="46"/>
      <c r="C15" s="29" t="s">
        <v>136</v>
      </c>
      <c r="D15" s="14" t="s">
        <v>24</v>
      </c>
      <c r="E15" s="14" t="s">
        <v>24</v>
      </c>
      <c r="F15" s="14" t="s">
        <v>24</v>
      </c>
      <c r="G15" s="14" t="s">
        <v>24</v>
      </c>
      <c r="H15" s="14" t="s">
        <v>24</v>
      </c>
      <c r="I15" s="14" t="s">
        <v>24</v>
      </c>
      <c r="J15" s="14" t="s">
        <v>24</v>
      </c>
      <c r="K15" s="14" t="s">
        <v>24</v>
      </c>
      <c r="L15" s="14" t="s">
        <v>24</v>
      </c>
      <c r="M15" s="14" t="s">
        <v>24</v>
      </c>
      <c r="N15" s="14" t="s">
        <v>24</v>
      </c>
      <c r="O15" s="14" t="s">
        <v>24</v>
      </c>
    </row>
    <row r="16" spans="2:15" ht="21" customHeight="1" x14ac:dyDescent="0.25">
      <c r="B16" s="46"/>
      <c r="C16" s="29" t="s">
        <v>132</v>
      </c>
      <c r="D16" s="14" t="s">
        <v>24</v>
      </c>
      <c r="E16" s="14" t="s">
        <v>24</v>
      </c>
      <c r="F16" s="14" t="s">
        <v>24</v>
      </c>
      <c r="G16" s="14" t="s">
        <v>24</v>
      </c>
      <c r="H16" s="14" t="s">
        <v>24</v>
      </c>
      <c r="I16" s="14" t="s">
        <v>24</v>
      </c>
      <c r="J16" s="14" t="s">
        <v>24</v>
      </c>
      <c r="K16" s="14" t="s">
        <v>24</v>
      </c>
      <c r="L16" s="14" t="s">
        <v>24</v>
      </c>
      <c r="M16" s="14" t="s">
        <v>24</v>
      </c>
      <c r="N16" s="14" t="s">
        <v>24</v>
      </c>
      <c r="O16" s="14" t="s">
        <v>24</v>
      </c>
    </row>
    <row r="17" spans="2:15" ht="20.25" x14ac:dyDescent="0.25">
      <c r="B17" s="46"/>
      <c r="C17" s="29" t="s">
        <v>133</v>
      </c>
      <c r="D17" s="14" t="s">
        <v>24</v>
      </c>
      <c r="E17" s="14" t="s">
        <v>24</v>
      </c>
      <c r="F17" s="14" t="s">
        <v>24</v>
      </c>
      <c r="G17" s="14" t="s">
        <v>24</v>
      </c>
      <c r="H17" s="14" t="s">
        <v>24</v>
      </c>
      <c r="I17" s="14" t="s">
        <v>24</v>
      </c>
      <c r="J17" s="14" t="s">
        <v>24</v>
      </c>
      <c r="K17" s="14" t="s">
        <v>24</v>
      </c>
      <c r="L17" s="14" t="s">
        <v>24</v>
      </c>
      <c r="M17" s="14" t="s">
        <v>24</v>
      </c>
      <c r="N17" s="14" t="s">
        <v>24</v>
      </c>
      <c r="O17" s="14" t="s">
        <v>24</v>
      </c>
    </row>
    <row r="18" spans="2:15" ht="21" customHeight="1" x14ac:dyDescent="0.25">
      <c r="B18" s="46"/>
      <c r="C18" s="29" t="s">
        <v>149</v>
      </c>
      <c r="D18" s="14" t="s">
        <v>24</v>
      </c>
      <c r="E18" s="14" t="s">
        <v>24</v>
      </c>
      <c r="F18" s="14" t="s">
        <v>24</v>
      </c>
      <c r="G18" s="14" t="s">
        <v>24</v>
      </c>
      <c r="H18" s="14" t="s">
        <v>24</v>
      </c>
      <c r="I18" s="14" t="s">
        <v>24</v>
      </c>
      <c r="J18" s="14" t="s">
        <v>24</v>
      </c>
      <c r="K18" s="14" t="s">
        <v>24</v>
      </c>
      <c r="L18" s="14" t="s">
        <v>24</v>
      </c>
      <c r="M18" s="14" t="s">
        <v>24</v>
      </c>
      <c r="N18" s="14" t="s">
        <v>24</v>
      </c>
      <c r="O18" s="14" t="s">
        <v>24</v>
      </c>
    </row>
    <row r="19" spans="2:15" ht="21" customHeight="1" x14ac:dyDescent="0.25">
      <c r="B19" s="46"/>
      <c r="C19" s="4" t="s">
        <v>141</v>
      </c>
      <c r="D19" s="14" t="s">
        <v>24</v>
      </c>
      <c r="E19" s="14" t="s">
        <v>24</v>
      </c>
      <c r="F19" s="14" t="s">
        <v>24</v>
      </c>
      <c r="G19" s="14" t="s">
        <v>24</v>
      </c>
      <c r="H19" s="14" t="s">
        <v>24</v>
      </c>
      <c r="I19" s="14" t="s">
        <v>24</v>
      </c>
      <c r="J19" s="14" t="s">
        <v>24</v>
      </c>
      <c r="K19" s="14" t="s">
        <v>24</v>
      </c>
      <c r="L19" s="14" t="s">
        <v>24</v>
      </c>
      <c r="M19" s="14" t="s">
        <v>24</v>
      </c>
      <c r="N19" s="14" t="s">
        <v>24</v>
      </c>
      <c r="O19" s="14" t="s">
        <v>24</v>
      </c>
    </row>
    <row r="20" spans="2:15" ht="21" customHeight="1" x14ac:dyDescent="0.25">
      <c r="B20" s="46"/>
      <c r="C20" s="5" t="s">
        <v>23</v>
      </c>
      <c r="D20" s="14" t="s">
        <v>24</v>
      </c>
      <c r="E20" s="14" t="s">
        <v>24</v>
      </c>
      <c r="F20" s="14" t="s">
        <v>24</v>
      </c>
      <c r="G20" s="14" t="s">
        <v>24</v>
      </c>
      <c r="H20" s="14" t="s">
        <v>24</v>
      </c>
      <c r="I20" s="14" t="s">
        <v>24</v>
      </c>
      <c r="J20" s="14" t="s">
        <v>24</v>
      </c>
      <c r="K20" s="14" t="s">
        <v>24</v>
      </c>
      <c r="L20" s="14" t="s">
        <v>24</v>
      </c>
      <c r="M20" s="14" t="s">
        <v>24</v>
      </c>
      <c r="N20" s="14" t="s">
        <v>24</v>
      </c>
      <c r="O20" s="14" t="s">
        <v>24</v>
      </c>
    </row>
    <row r="21" spans="2:15" ht="20.25" x14ac:dyDescent="0.25">
      <c r="B21" s="46"/>
      <c r="C21" s="26" t="s">
        <v>22</v>
      </c>
      <c r="D21" s="14" t="s">
        <v>123</v>
      </c>
      <c r="E21" s="14" t="s">
        <v>123</v>
      </c>
      <c r="F21" s="14" t="s">
        <v>123</v>
      </c>
      <c r="G21" s="14" t="s">
        <v>123</v>
      </c>
      <c r="H21" s="14" t="s">
        <v>123</v>
      </c>
      <c r="I21" s="14" t="s">
        <v>123</v>
      </c>
      <c r="J21" s="14" t="s">
        <v>123</v>
      </c>
      <c r="K21" s="14" t="s">
        <v>123</v>
      </c>
      <c r="L21" s="14" t="s">
        <v>123</v>
      </c>
      <c r="M21" s="14" t="s">
        <v>123</v>
      </c>
      <c r="N21" s="14" t="s">
        <v>123</v>
      </c>
      <c r="O21" s="14" t="s">
        <v>123</v>
      </c>
    </row>
    <row r="22" spans="2:15" ht="20.25" x14ac:dyDescent="0.25">
      <c r="B22" s="47"/>
      <c r="C22" s="26" t="s">
        <v>1</v>
      </c>
      <c r="D22" s="14" t="s">
        <v>123</v>
      </c>
      <c r="E22" s="14" t="s">
        <v>123</v>
      </c>
      <c r="F22" s="14" t="s">
        <v>123</v>
      </c>
      <c r="G22" s="14" t="s">
        <v>123</v>
      </c>
      <c r="H22" s="14" t="s">
        <v>123</v>
      </c>
      <c r="I22" s="14" t="s">
        <v>123</v>
      </c>
      <c r="J22" s="14" t="s">
        <v>123</v>
      </c>
      <c r="K22" s="14" t="s">
        <v>123</v>
      </c>
      <c r="L22" s="14" t="s">
        <v>123</v>
      </c>
      <c r="M22" s="14" t="s">
        <v>123</v>
      </c>
      <c r="N22" s="14" t="s">
        <v>123</v>
      </c>
      <c r="O22" s="14" t="s">
        <v>123</v>
      </c>
    </row>
    <row r="23" spans="2:15" ht="21" customHeight="1" x14ac:dyDescent="0.25">
      <c r="B23" s="45" t="s">
        <v>143</v>
      </c>
      <c r="C23" s="4" t="s">
        <v>134</v>
      </c>
      <c r="D23" s="14"/>
      <c r="E23" s="14"/>
      <c r="F23" s="14" t="s">
        <v>24</v>
      </c>
      <c r="G23" s="14"/>
      <c r="H23" s="14"/>
      <c r="I23" s="14"/>
      <c r="J23" s="14"/>
      <c r="K23" s="14"/>
      <c r="L23" s="14"/>
      <c r="M23" s="14"/>
      <c r="N23" s="14" t="s">
        <v>24</v>
      </c>
      <c r="O23" s="14"/>
    </row>
    <row r="24" spans="2:15" ht="21" customHeight="1" x14ac:dyDescent="0.25">
      <c r="B24" s="47"/>
      <c r="C24" s="4" t="s">
        <v>148</v>
      </c>
      <c r="D24" s="14"/>
      <c r="E24" s="14"/>
      <c r="F24" s="14"/>
      <c r="G24" s="14" t="s">
        <v>24</v>
      </c>
      <c r="H24" s="14"/>
      <c r="I24" s="14"/>
      <c r="J24" s="14"/>
      <c r="K24" s="14"/>
      <c r="L24" s="14"/>
      <c r="M24" s="14"/>
      <c r="N24" s="14"/>
      <c r="O24" s="14" t="s">
        <v>24</v>
      </c>
    </row>
    <row r="25" spans="2:15" ht="21" customHeight="1" x14ac:dyDescent="0.25">
      <c r="B25" s="45" t="s">
        <v>122</v>
      </c>
      <c r="C25" s="25" t="s">
        <v>128</v>
      </c>
      <c r="D25" s="14"/>
      <c r="E25" s="14"/>
      <c r="F25" s="14"/>
      <c r="G25" s="14"/>
      <c r="H25" s="14"/>
      <c r="I25" s="14"/>
      <c r="J25" s="14"/>
      <c r="K25" s="14" t="s">
        <v>24</v>
      </c>
      <c r="L25" s="14"/>
      <c r="M25" s="14"/>
      <c r="N25" s="14"/>
      <c r="O25" s="14"/>
    </row>
    <row r="26" spans="2:15" ht="21" customHeight="1" x14ac:dyDescent="0.25">
      <c r="B26" s="46"/>
      <c r="C26" s="25" t="s">
        <v>129</v>
      </c>
      <c r="D26" s="14"/>
      <c r="E26" s="14"/>
      <c r="F26" s="14"/>
      <c r="G26" s="14"/>
      <c r="H26" s="14"/>
      <c r="I26" s="14"/>
      <c r="J26" s="14"/>
      <c r="K26" s="14"/>
      <c r="L26" s="14" t="s">
        <v>24</v>
      </c>
      <c r="M26" s="14"/>
      <c r="N26" s="14"/>
      <c r="O26" s="14"/>
    </row>
    <row r="27" spans="2:15" ht="21" customHeight="1" x14ac:dyDescent="0.25">
      <c r="B27" s="47"/>
      <c r="C27" s="5" t="s">
        <v>126</v>
      </c>
      <c r="D27" s="14"/>
      <c r="E27" s="14"/>
      <c r="F27" s="14"/>
      <c r="G27" s="14"/>
      <c r="H27" s="14"/>
      <c r="I27" s="14"/>
      <c r="J27" s="14"/>
      <c r="K27" s="14"/>
      <c r="L27" s="14"/>
      <c r="M27" s="14" t="s">
        <v>24</v>
      </c>
      <c r="N27" s="14"/>
      <c r="O27" s="14"/>
    </row>
    <row r="28" spans="2:15" ht="21" customHeight="1" x14ac:dyDescent="0.25">
      <c r="B28" s="1"/>
      <c r="C28" s="30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2:15" ht="21" customHeight="1" x14ac:dyDescent="0.25">
      <c r="B29" s="1"/>
      <c r="C29" s="30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</row>
    <row r="30" spans="2:15" ht="16.5" thickBot="1" x14ac:dyDescent="0.3"/>
    <row r="31" spans="2:15" ht="16.5" thickBot="1" x14ac:dyDescent="0.3">
      <c r="B31" s="54" t="s">
        <v>26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</row>
    <row r="32" spans="2:15" ht="16.5" thickBot="1" x14ac:dyDescent="0.3"/>
    <row r="33" spans="2:15" ht="16.5" thickBot="1" x14ac:dyDescent="0.3">
      <c r="B33" s="28" t="s">
        <v>125</v>
      </c>
      <c r="C33" s="9" t="s">
        <v>29</v>
      </c>
      <c r="D33" s="20" t="s">
        <v>8</v>
      </c>
      <c r="E33" s="20" t="s">
        <v>9</v>
      </c>
      <c r="F33" s="20" t="s">
        <v>10</v>
      </c>
      <c r="G33" s="20" t="s">
        <v>11</v>
      </c>
      <c r="H33" s="20" t="s">
        <v>12</v>
      </c>
      <c r="I33" s="20" t="s">
        <v>13</v>
      </c>
      <c r="J33" s="20" t="s">
        <v>14</v>
      </c>
      <c r="K33" s="20" t="s">
        <v>15</v>
      </c>
      <c r="L33" s="20" t="s">
        <v>16</v>
      </c>
      <c r="M33" s="20" t="s">
        <v>17</v>
      </c>
      <c r="N33" s="20" t="s">
        <v>18</v>
      </c>
      <c r="O33" s="20" t="s">
        <v>7</v>
      </c>
    </row>
    <row r="34" spans="2:15" ht="20.100000000000001" customHeight="1" x14ac:dyDescent="0.25">
      <c r="B34" s="45" t="s">
        <v>121</v>
      </c>
      <c r="C34" s="4" t="s">
        <v>0</v>
      </c>
      <c r="D34" s="15"/>
      <c r="E34" s="15"/>
      <c r="F34" s="15"/>
      <c r="G34" s="15"/>
      <c r="H34" s="15"/>
      <c r="I34" s="19"/>
      <c r="J34" s="15"/>
      <c r="K34" s="15"/>
      <c r="L34" s="15"/>
      <c r="M34" s="15"/>
      <c r="N34" s="15"/>
      <c r="O34" s="15"/>
    </row>
    <row r="35" spans="2:15" ht="20.100000000000001" customHeight="1" x14ac:dyDescent="0.25">
      <c r="B35" s="46"/>
      <c r="C35" s="26" t="s">
        <v>127</v>
      </c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</row>
    <row r="36" spans="2:15" ht="20.100000000000001" customHeight="1" x14ac:dyDescent="0.25">
      <c r="B36" s="46"/>
      <c r="C36" s="29" t="s">
        <v>130</v>
      </c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</row>
    <row r="37" spans="2:15" ht="20.100000000000001" customHeight="1" x14ac:dyDescent="0.25">
      <c r="B37" s="46"/>
      <c r="C37" s="29" t="s">
        <v>131</v>
      </c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</row>
    <row r="38" spans="2:15" ht="20.100000000000001" customHeight="1" x14ac:dyDescent="0.25">
      <c r="B38" s="46"/>
      <c r="C38" s="29" t="s">
        <v>135</v>
      </c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</row>
    <row r="39" spans="2:15" ht="20.100000000000001" customHeight="1" x14ac:dyDescent="0.25">
      <c r="B39" s="46"/>
      <c r="C39" s="29" t="s">
        <v>136</v>
      </c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</row>
    <row r="40" spans="2:15" ht="20.100000000000001" customHeight="1" x14ac:dyDescent="0.25">
      <c r="B40" s="46"/>
      <c r="C40" s="29" t="s">
        <v>132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</row>
    <row r="41" spans="2:15" ht="20.100000000000001" customHeight="1" x14ac:dyDescent="0.25">
      <c r="B41" s="46"/>
      <c r="C41" s="29" t="s">
        <v>133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</row>
    <row r="42" spans="2:15" ht="20.100000000000001" customHeight="1" x14ac:dyDescent="0.25">
      <c r="B42" s="46"/>
      <c r="C42" s="29" t="s">
        <v>149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</row>
    <row r="43" spans="2:15" ht="20.100000000000001" customHeight="1" x14ac:dyDescent="0.25">
      <c r="B43" s="46"/>
      <c r="C43" s="4" t="s">
        <v>141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</row>
    <row r="44" spans="2:15" ht="20.100000000000001" customHeight="1" x14ac:dyDescent="0.25">
      <c r="B44" s="46"/>
      <c r="C44" s="5" t="s">
        <v>23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</row>
    <row r="45" spans="2:15" ht="20.100000000000001" customHeight="1" x14ac:dyDescent="0.25">
      <c r="B45" s="46"/>
      <c r="C45" s="29" t="s">
        <v>154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</row>
    <row r="46" spans="2:15" ht="20.100000000000001" customHeight="1" x14ac:dyDescent="0.25">
      <c r="B46" s="46"/>
      <c r="C46" s="29" t="s">
        <v>155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</row>
    <row r="47" spans="2:15" ht="20.100000000000001" customHeight="1" x14ac:dyDescent="0.25">
      <c r="B47" s="46"/>
      <c r="C47" s="29" t="s">
        <v>156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</row>
    <row r="48" spans="2:15" ht="20.100000000000001" customHeight="1" x14ac:dyDescent="0.25">
      <c r="B48" s="46"/>
      <c r="C48" s="29" t="s">
        <v>157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</row>
    <row r="49" spans="2:15" ht="20.100000000000001" customHeight="1" x14ac:dyDescent="0.25">
      <c r="B49" s="46"/>
      <c r="C49" s="29" t="s">
        <v>158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</row>
    <row r="50" spans="2:15" ht="20.100000000000001" customHeight="1" x14ac:dyDescent="0.25">
      <c r="B50" s="46"/>
      <c r="C50" s="29" t="s">
        <v>159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</row>
    <row r="51" spans="2:15" ht="20.100000000000001" customHeight="1" x14ac:dyDescent="0.25">
      <c r="B51" s="46"/>
      <c r="C51" s="29" t="s">
        <v>160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</row>
    <row r="52" spans="2:15" ht="20.100000000000001" customHeight="1" x14ac:dyDescent="0.25">
      <c r="B52" s="47"/>
      <c r="C52" s="29" t="s">
        <v>161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</row>
    <row r="53" spans="2:15" ht="20.100000000000001" customHeight="1" x14ac:dyDescent="0.35">
      <c r="B53" s="45" t="s">
        <v>143</v>
      </c>
      <c r="C53" s="4" t="s">
        <v>134</v>
      </c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2:15" ht="20.100000000000001" customHeight="1" x14ac:dyDescent="0.35">
      <c r="B54" s="47"/>
      <c r="C54" s="4" t="s">
        <v>148</v>
      </c>
      <c r="D54" s="17"/>
      <c r="E54" s="17"/>
      <c r="F54" s="17"/>
      <c r="G54" s="18"/>
      <c r="H54" s="17"/>
      <c r="I54" s="17"/>
      <c r="J54" s="17"/>
      <c r="K54" s="17"/>
      <c r="L54" s="17"/>
      <c r="M54" s="18"/>
      <c r="N54" s="17"/>
      <c r="O54" s="17"/>
    </row>
    <row r="55" spans="2:15" ht="20.100000000000001" customHeight="1" x14ac:dyDescent="0.25">
      <c r="B55" s="45" t="s">
        <v>122</v>
      </c>
      <c r="C55" s="25" t="s">
        <v>128</v>
      </c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</row>
    <row r="56" spans="2:15" ht="20.100000000000001" customHeight="1" x14ac:dyDescent="0.25">
      <c r="B56" s="46"/>
      <c r="C56" s="25" t="s">
        <v>129</v>
      </c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</row>
    <row r="57" spans="2:15" ht="20.100000000000001" customHeight="1" x14ac:dyDescent="0.25">
      <c r="B57" s="47"/>
      <c r="C57" s="5" t="s">
        <v>126</v>
      </c>
      <c r="D57" s="32"/>
      <c r="E57" s="32"/>
      <c r="F57" s="32"/>
      <c r="G57" s="32"/>
      <c r="H57" s="32"/>
      <c r="I57" s="32"/>
      <c r="J57" s="32"/>
      <c r="K57" s="32"/>
      <c r="L57" s="32"/>
      <c r="M57" s="33">
        <v>43374</v>
      </c>
      <c r="N57" s="32"/>
      <c r="O57" s="32"/>
    </row>
  </sheetData>
  <mergeCells count="8">
    <mergeCell ref="B53:B54"/>
    <mergeCell ref="B55:B57"/>
    <mergeCell ref="B7:O7"/>
    <mergeCell ref="B31:O31"/>
    <mergeCell ref="B10:B22"/>
    <mergeCell ref="B23:B24"/>
    <mergeCell ref="B25:B27"/>
    <mergeCell ref="B34:B52"/>
  </mergeCells>
  <phoneticPr fontId="3" type="noConversion"/>
  <pageMargins left="0.70866141732283472" right="0.70866141732283472" top="0.74803149606299213" bottom="0.74803149606299213" header="0.31496062992125984" footer="0.31496062992125984"/>
  <pageSetup scale="47" orientation="landscape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7FE5-63F9-49EC-80FF-4C7168632987}">
  <dimension ref="B1:G25"/>
  <sheetViews>
    <sheetView showGridLines="0" workbookViewId="0">
      <selection activeCell="C8" sqref="C8"/>
    </sheetView>
  </sheetViews>
  <sheetFormatPr baseColWidth="10" defaultColWidth="10.85546875" defaultRowHeight="15" x14ac:dyDescent="0.2"/>
  <cols>
    <col min="1" max="1" width="10.85546875" style="1"/>
    <col min="2" max="2" width="30.7109375" style="1" customWidth="1"/>
    <col min="3" max="3" width="55" style="1" bestFit="1" customWidth="1"/>
    <col min="4" max="4" width="20.42578125" style="1" bestFit="1" customWidth="1"/>
    <col min="5" max="5" width="17" style="1" bestFit="1" customWidth="1"/>
    <col min="6" max="6" width="14.85546875" style="21" customWidth="1"/>
    <col min="7" max="16384" width="10.85546875" style="1"/>
  </cols>
  <sheetData>
    <row r="1" spans="2:7" s="6" customFormat="1" ht="15.75" x14ac:dyDescent="0.25"/>
    <row r="2" spans="2:7" s="6" customFormat="1" ht="15.75" x14ac:dyDescent="0.25">
      <c r="B2" s="24" t="s">
        <v>163</v>
      </c>
      <c r="C2" s="1"/>
      <c r="D2" s="1"/>
      <c r="E2" s="8"/>
      <c r="F2" s="8"/>
      <c r="G2" s="1"/>
    </row>
    <row r="3" spans="2:7" s="6" customFormat="1" ht="15.75" x14ac:dyDescent="0.25">
      <c r="B3" s="24" t="s">
        <v>164</v>
      </c>
      <c r="C3" s="1"/>
      <c r="D3" s="1"/>
      <c r="E3" s="8"/>
      <c r="F3" s="8"/>
      <c r="G3" s="1"/>
    </row>
    <row r="4" spans="2:7" s="6" customFormat="1" ht="16.5" customHeight="1" x14ac:dyDescent="0.25">
      <c r="B4" s="24"/>
      <c r="C4" s="1"/>
      <c r="D4" s="1"/>
      <c r="E4" s="8"/>
      <c r="F4" s="8"/>
      <c r="G4" s="1"/>
    </row>
    <row r="6" spans="2:7" s="2" customFormat="1" ht="21" customHeight="1" x14ac:dyDescent="0.25">
      <c r="B6" s="3" t="s">
        <v>120</v>
      </c>
      <c r="C6" s="12" t="s">
        <v>5</v>
      </c>
      <c r="D6" s="12" t="s">
        <v>124</v>
      </c>
      <c r="E6" s="3" t="s">
        <v>19</v>
      </c>
      <c r="F6" s="22" t="s">
        <v>6</v>
      </c>
    </row>
    <row r="7" spans="2:7" ht="21" customHeight="1" x14ac:dyDescent="0.25">
      <c r="B7" s="41" t="s">
        <v>146</v>
      </c>
      <c r="C7" s="41" t="s">
        <v>137</v>
      </c>
      <c r="D7" s="41" t="s">
        <v>139</v>
      </c>
      <c r="E7" s="41" t="s">
        <v>138</v>
      </c>
      <c r="F7" s="42" t="s">
        <v>140</v>
      </c>
    </row>
    <row r="8" spans="2:7" ht="21" customHeight="1" x14ac:dyDescent="0.25">
      <c r="B8" s="41" t="s">
        <v>146</v>
      </c>
      <c r="C8" s="41" t="s">
        <v>152</v>
      </c>
      <c r="D8" s="44" t="s">
        <v>153</v>
      </c>
      <c r="E8" s="43" t="s">
        <v>150</v>
      </c>
      <c r="F8" s="42" t="s">
        <v>151</v>
      </c>
    </row>
    <row r="9" spans="2:7" ht="21" customHeight="1" x14ac:dyDescent="0.2">
      <c r="B9" s="5"/>
      <c r="C9" s="5"/>
      <c r="D9" s="5"/>
      <c r="E9" s="13"/>
      <c r="F9" s="23"/>
    </row>
    <row r="10" spans="2:7" ht="21" customHeight="1" x14ac:dyDescent="0.2">
      <c r="B10" s="11"/>
      <c r="C10" s="11"/>
      <c r="D10" s="11"/>
      <c r="E10" s="13"/>
      <c r="F10" s="23"/>
    </row>
    <row r="11" spans="2:7" ht="21" customHeight="1" x14ac:dyDescent="0.2">
      <c r="B11" s="11"/>
      <c r="C11" s="11"/>
      <c r="D11" s="11"/>
      <c r="E11" s="13"/>
      <c r="F11" s="23"/>
    </row>
    <row r="12" spans="2:7" ht="21" customHeight="1" x14ac:dyDescent="0.2">
      <c r="B12" s="11"/>
      <c r="C12" s="11"/>
      <c r="D12" s="11"/>
      <c r="E12" s="13"/>
      <c r="F12" s="23"/>
    </row>
    <row r="13" spans="2:7" ht="21" customHeight="1" x14ac:dyDescent="0.2">
      <c r="B13" s="11"/>
      <c r="C13" s="11"/>
      <c r="D13" s="11"/>
      <c r="E13" s="13"/>
      <c r="F13" s="23"/>
    </row>
    <row r="14" spans="2:7" ht="21" customHeight="1" x14ac:dyDescent="0.2">
      <c r="B14" s="10"/>
      <c r="C14" s="10"/>
      <c r="D14" s="10"/>
      <c r="E14" s="13"/>
      <c r="F14" s="23"/>
    </row>
    <row r="15" spans="2:7" ht="21" customHeight="1" x14ac:dyDescent="0.2">
      <c r="B15" s="5"/>
      <c r="C15" s="5"/>
      <c r="D15" s="5"/>
      <c r="E15" s="13"/>
      <c r="F15" s="23"/>
    </row>
    <row r="16" spans="2:7" ht="21" customHeight="1" x14ac:dyDescent="0.2">
      <c r="B16" s="11"/>
      <c r="C16" s="11"/>
      <c r="D16" s="11"/>
      <c r="E16" s="13"/>
      <c r="F16" s="23"/>
    </row>
    <row r="17" spans="2:6" ht="21" customHeight="1" x14ac:dyDescent="0.2">
      <c r="B17" s="11"/>
      <c r="C17" s="11"/>
      <c r="D17" s="11"/>
      <c r="E17" s="13"/>
      <c r="F17" s="23"/>
    </row>
    <row r="18" spans="2:6" ht="21" customHeight="1" x14ac:dyDescent="0.2">
      <c r="B18" s="5"/>
      <c r="C18" s="5"/>
      <c r="D18" s="5"/>
      <c r="E18" s="13"/>
      <c r="F18" s="23"/>
    </row>
    <row r="19" spans="2:6" ht="21" customHeight="1" x14ac:dyDescent="0.2">
      <c r="B19" s="5"/>
      <c r="C19" s="5"/>
      <c r="D19" s="5"/>
      <c r="E19" s="13"/>
      <c r="F19" s="23"/>
    </row>
    <row r="20" spans="2:6" ht="21" customHeight="1" x14ac:dyDescent="0.2">
      <c r="B20" s="5"/>
      <c r="C20" s="5"/>
      <c r="D20" s="5"/>
      <c r="E20" s="13"/>
      <c r="F20" s="23"/>
    </row>
    <row r="21" spans="2:6" ht="21" customHeight="1" x14ac:dyDescent="0.2">
      <c r="B21" s="5"/>
      <c r="C21" s="5"/>
      <c r="D21" s="5"/>
      <c r="E21" s="13"/>
      <c r="F21" s="23"/>
    </row>
    <row r="22" spans="2:6" ht="21" customHeight="1" x14ac:dyDescent="0.2">
      <c r="B22" s="5"/>
      <c r="C22" s="5"/>
      <c r="D22" s="5"/>
      <c r="E22" s="13"/>
      <c r="F22" s="23"/>
    </row>
    <row r="23" spans="2:6" ht="21" customHeight="1" x14ac:dyDescent="0.2">
      <c r="B23" s="5"/>
      <c r="C23" s="5"/>
      <c r="D23" s="5"/>
      <c r="E23" s="13"/>
      <c r="F23" s="23"/>
    </row>
    <row r="24" spans="2:6" ht="21" customHeight="1" x14ac:dyDescent="0.2">
      <c r="B24" s="5"/>
      <c r="C24" s="5"/>
      <c r="D24" s="5"/>
      <c r="E24" s="13"/>
      <c r="F24" s="23"/>
    </row>
    <row r="25" spans="2:6" ht="21" customHeight="1" x14ac:dyDescent="0.2">
      <c r="B25" s="5"/>
      <c r="C25" s="5"/>
      <c r="D25" s="5"/>
      <c r="E25" s="13"/>
      <c r="F25" s="23"/>
    </row>
  </sheetData>
  <pageMargins left="0.7" right="0.7" top="0.75" bottom="0.75" header="0.3" footer="0.3"/>
  <pageSetup paperSize="9" orientation="portrait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BB704-9F3E-4D40-84C8-76B5EB131E54}">
  <dimension ref="B2:P63"/>
  <sheetViews>
    <sheetView topLeftCell="A34" workbookViewId="0">
      <selection activeCell="C19" sqref="C19"/>
    </sheetView>
  </sheetViews>
  <sheetFormatPr baseColWidth="10" defaultRowHeight="15" x14ac:dyDescent="0.25"/>
  <cols>
    <col min="2" max="2" width="60.42578125" bestFit="1" customWidth="1"/>
    <col min="3" max="3" width="16.7109375" bestFit="1" customWidth="1"/>
    <col min="4" max="4" width="19.140625" bestFit="1" customWidth="1"/>
  </cols>
  <sheetData>
    <row r="2" spans="2:16" x14ac:dyDescent="0.25">
      <c r="B2" t="s">
        <v>27</v>
      </c>
    </row>
    <row r="3" spans="2:16" x14ac:dyDescent="0.25">
      <c r="B3" t="s">
        <v>28</v>
      </c>
      <c r="C3" t="s">
        <v>29</v>
      </c>
      <c r="E3" t="s">
        <v>30</v>
      </c>
      <c r="F3" t="s">
        <v>31</v>
      </c>
      <c r="G3" t="s">
        <v>32</v>
      </c>
      <c r="H3" t="s">
        <v>33</v>
      </c>
      <c r="I3" t="s">
        <v>32</v>
      </c>
      <c r="J3" t="s">
        <v>34</v>
      </c>
      <c r="K3" t="s">
        <v>34</v>
      </c>
      <c r="L3" t="s">
        <v>33</v>
      </c>
      <c r="M3" t="s">
        <v>35</v>
      </c>
      <c r="N3" t="s">
        <v>36</v>
      </c>
      <c r="O3" t="s">
        <v>37</v>
      </c>
      <c r="P3" t="s">
        <v>38</v>
      </c>
    </row>
    <row r="4" spans="2:16" x14ac:dyDescent="0.25">
      <c r="B4" t="s">
        <v>39</v>
      </c>
    </row>
    <row r="5" spans="2:16" x14ac:dyDescent="0.25">
      <c r="B5" t="s">
        <v>40</v>
      </c>
      <c r="C5" t="s">
        <v>41</v>
      </c>
      <c r="D5" t="s">
        <v>42</v>
      </c>
      <c r="E5" t="s">
        <v>21</v>
      </c>
    </row>
    <row r="6" spans="2:16" x14ac:dyDescent="0.25">
      <c r="B6" t="s">
        <v>43</v>
      </c>
      <c r="C6" t="s">
        <v>44</v>
      </c>
      <c r="D6" t="s">
        <v>45</v>
      </c>
      <c r="E6" t="s">
        <v>21</v>
      </c>
      <c r="G6" t="s">
        <v>21</v>
      </c>
      <c r="I6" t="s">
        <v>21</v>
      </c>
      <c r="K6" t="s">
        <v>21</v>
      </c>
      <c r="M6" t="s">
        <v>21</v>
      </c>
      <c r="O6" t="s">
        <v>21</v>
      </c>
    </row>
    <row r="7" spans="2:16" x14ac:dyDescent="0.25">
      <c r="B7" t="s">
        <v>46</v>
      </c>
      <c r="C7" t="s">
        <v>47</v>
      </c>
      <c r="D7" t="s">
        <v>48</v>
      </c>
      <c r="E7" t="s">
        <v>21</v>
      </c>
      <c r="F7" t="s">
        <v>21</v>
      </c>
      <c r="G7" t="s">
        <v>21</v>
      </c>
      <c r="H7" t="s">
        <v>21</v>
      </c>
      <c r="I7" t="s">
        <v>21</v>
      </c>
      <c r="J7" t="s">
        <v>21</v>
      </c>
      <c r="K7" t="s">
        <v>21</v>
      </c>
      <c r="L7" t="s">
        <v>21</v>
      </c>
      <c r="M7" t="s">
        <v>21</v>
      </c>
      <c r="N7" t="s">
        <v>21</v>
      </c>
      <c r="O7" t="s">
        <v>21</v>
      </c>
      <c r="P7" t="s">
        <v>21</v>
      </c>
    </row>
    <row r="8" spans="2:16" x14ac:dyDescent="0.25">
      <c r="B8" t="s">
        <v>49</v>
      </c>
      <c r="C8" t="s">
        <v>41</v>
      </c>
      <c r="D8" t="s">
        <v>50</v>
      </c>
      <c r="E8" t="s">
        <v>21</v>
      </c>
    </row>
    <row r="9" spans="2:16" x14ac:dyDescent="0.25">
      <c r="B9" t="s">
        <v>51</v>
      </c>
      <c r="C9" t="s">
        <v>41</v>
      </c>
      <c r="D9" t="s">
        <v>50</v>
      </c>
      <c r="E9" t="s">
        <v>21</v>
      </c>
    </row>
    <row r="10" spans="2:16" x14ac:dyDescent="0.25">
      <c r="B10" t="s">
        <v>52</v>
      </c>
      <c r="C10" t="s">
        <v>41</v>
      </c>
      <c r="D10" t="s">
        <v>50</v>
      </c>
      <c r="E10" t="s">
        <v>21</v>
      </c>
    </row>
    <row r="11" spans="2:16" x14ac:dyDescent="0.25">
      <c r="B11" t="s">
        <v>53</v>
      </c>
      <c r="C11" t="s">
        <v>54</v>
      </c>
      <c r="D11" t="s">
        <v>42</v>
      </c>
      <c r="E11" t="s">
        <v>21</v>
      </c>
    </row>
    <row r="12" spans="2:16" x14ac:dyDescent="0.25">
      <c r="B12" t="s">
        <v>55</v>
      </c>
      <c r="C12" t="s">
        <v>44</v>
      </c>
      <c r="D12" t="s">
        <v>45</v>
      </c>
      <c r="E12" t="s">
        <v>21</v>
      </c>
      <c r="G12" t="s">
        <v>21</v>
      </c>
      <c r="I12" t="s">
        <v>21</v>
      </c>
      <c r="K12" t="s">
        <v>21</v>
      </c>
      <c r="M12" t="s">
        <v>21</v>
      </c>
      <c r="O12" t="s">
        <v>21</v>
      </c>
    </row>
    <row r="13" spans="2:16" x14ac:dyDescent="0.25">
      <c r="B13" t="s">
        <v>56</v>
      </c>
    </row>
    <row r="14" spans="2:16" x14ac:dyDescent="0.25">
      <c r="B14" t="s">
        <v>57</v>
      </c>
      <c r="C14" t="s">
        <v>58</v>
      </c>
      <c r="D14" t="s">
        <v>59</v>
      </c>
      <c r="E14" t="s">
        <v>21</v>
      </c>
    </row>
    <row r="15" spans="2:16" x14ac:dyDescent="0.25">
      <c r="B15" t="s">
        <v>60</v>
      </c>
      <c r="C15" t="s">
        <v>44</v>
      </c>
      <c r="D15" t="s">
        <v>45</v>
      </c>
      <c r="E15" t="s">
        <v>21</v>
      </c>
      <c r="G15" t="s">
        <v>21</v>
      </c>
      <c r="I15" t="s">
        <v>21</v>
      </c>
      <c r="K15" t="s">
        <v>21</v>
      </c>
      <c r="M15" t="s">
        <v>21</v>
      </c>
      <c r="O15" t="s">
        <v>21</v>
      </c>
    </row>
    <row r="16" spans="2:16" x14ac:dyDescent="0.25">
      <c r="B16" t="s">
        <v>61</v>
      </c>
      <c r="C16" t="s">
        <v>54</v>
      </c>
      <c r="D16" t="s">
        <v>45</v>
      </c>
      <c r="F16" t="s">
        <v>21</v>
      </c>
    </row>
    <row r="17" spans="2:16" x14ac:dyDescent="0.25">
      <c r="B17" t="s">
        <v>62</v>
      </c>
      <c r="C17" t="s">
        <v>63</v>
      </c>
      <c r="D17" t="s">
        <v>50</v>
      </c>
      <c r="E17" t="s">
        <v>21</v>
      </c>
      <c r="F17" t="s">
        <v>21</v>
      </c>
      <c r="G17" t="s">
        <v>21</v>
      </c>
      <c r="H17" t="s">
        <v>21</v>
      </c>
      <c r="I17" t="s">
        <v>21</v>
      </c>
      <c r="J17" t="s">
        <v>21</v>
      </c>
      <c r="K17" t="s">
        <v>21</v>
      </c>
      <c r="L17" t="s">
        <v>21</v>
      </c>
      <c r="M17" t="s">
        <v>21</v>
      </c>
      <c r="N17" t="s">
        <v>21</v>
      </c>
      <c r="O17" t="s">
        <v>21</v>
      </c>
      <c r="P17" t="s">
        <v>21</v>
      </c>
    </row>
    <row r="18" spans="2:16" x14ac:dyDescent="0.25">
      <c r="B18" t="s">
        <v>64</v>
      </c>
      <c r="C18" t="s">
        <v>54</v>
      </c>
      <c r="D18" t="s">
        <v>50</v>
      </c>
      <c r="F18" t="s">
        <v>21</v>
      </c>
    </row>
    <row r="19" spans="2:16" x14ac:dyDescent="0.25">
      <c r="B19" t="s">
        <v>65</v>
      </c>
      <c r="C19" t="s">
        <v>54</v>
      </c>
      <c r="D19" t="s">
        <v>50</v>
      </c>
      <c r="H19" t="s">
        <v>21</v>
      </c>
    </row>
    <row r="20" spans="2:16" x14ac:dyDescent="0.25">
      <c r="B20" t="s">
        <v>66</v>
      </c>
      <c r="C20" t="s">
        <v>54</v>
      </c>
      <c r="D20" t="s">
        <v>50</v>
      </c>
      <c r="H20" t="s">
        <v>21</v>
      </c>
    </row>
    <row r="21" spans="2:16" x14ac:dyDescent="0.25">
      <c r="B21" t="s">
        <v>67</v>
      </c>
      <c r="C21" t="s">
        <v>68</v>
      </c>
      <c r="D21" t="s">
        <v>45</v>
      </c>
      <c r="E21" t="s">
        <v>21</v>
      </c>
      <c r="J21" t="s">
        <v>21</v>
      </c>
    </row>
    <row r="22" spans="2:16" x14ac:dyDescent="0.25">
      <c r="B22" t="s">
        <v>69</v>
      </c>
    </row>
    <row r="23" spans="2:16" x14ac:dyDescent="0.25">
      <c r="B23" t="s">
        <v>70</v>
      </c>
      <c r="C23" t="s">
        <v>54</v>
      </c>
      <c r="D23" t="s">
        <v>45</v>
      </c>
      <c r="H23" t="s">
        <v>21</v>
      </c>
    </row>
    <row r="24" spans="2:16" x14ac:dyDescent="0.25">
      <c r="B24" t="s">
        <v>71</v>
      </c>
      <c r="C24" t="s">
        <v>54</v>
      </c>
      <c r="D24" t="s">
        <v>45</v>
      </c>
      <c r="H24" t="s">
        <v>21</v>
      </c>
    </row>
    <row r="25" spans="2:16" x14ac:dyDescent="0.25">
      <c r="B25" t="s">
        <v>0</v>
      </c>
    </row>
    <row r="26" spans="2:16" x14ac:dyDescent="0.25">
      <c r="B26" t="s">
        <v>0</v>
      </c>
      <c r="C26" t="s">
        <v>63</v>
      </c>
      <c r="D26" t="s">
        <v>45</v>
      </c>
      <c r="E26" t="s">
        <v>21</v>
      </c>
      <c r="F26" t="s">
        <v>21</v>
      </c>
      <c r="G26" t="s">
        <v>21</v>
      </c>
      <c r="H26" t="s">
        <v>21</v>
      </c>
      <c r="I26" t="s">
        <v>21</v>
      </c>
      <c r="J26" t="s">
        <v>21</v>
      </c>
      <c r="K26" t="s">
        <v>21</v>
      </c>
      <c r="L26" t="s">
        <v>21</v>
      </c>
      <c r="M26" t="s">
        <v>21</v>
      </c>
      <c r="N26" t="s">
        <v>21</v>
      </c>
      <c r="O26" t="s">
        <v>21</v>
      </c>
      <c r="P26" t="s">
        <v>21</v>
      </c>
    </row>
    <row r="27" spans="2:16" x14ac:dyDescent="0.25">
      <c r="B27" t="s">
        <v>72</v>
      </c>
    </row>
    <row r="28" spans="2:16" x14ac:dyDescent="0.25">
      <c r="B28" t="s">
        <v>73</v>
      </c>
      <c r="C28" t="s">
        <v>41</v>
      </c>
      <c r="D28" t="s">
        <v>50</v>
      </c>
      <c r="E28" t="s">
        <v>21</v>
      </c>
    </row>
    <row r="29" spans="2:16" x14ac:dyDescent="0.25">
      <c r="B29" t="s">
        <v>74</v>
      </c>
      <c r="C29" t="s">
        <v>41</v>
      </c>
      <c r="D29" t="s">
        <v>50</v>
      </c>
      <c r="E29" t="s">
        <v>21</v>
      </c>
    </row>
    <row r="30" spans="2:16" x14ac:dyDescent="0.25">
      <c r="B30" t="s">
        <v>25</v>
      </c>
      <c r="C30" t="s">
        <v>54</v>
      </c>
      <c r="D30" t="s">
        <v>45</v>
      </c>
      <c r="E30" t="s">
        <v>21</v>
      </c>
    </row>
    <row r="31" spans="2:16" x14ac:dyDescent="0.25">
      <c r="B31" t="s">
        <v>75</v>
      </c>
      <c r="C31" t="s">
        <v>54</v>
      </c>
      <c r="D31" t="s">
        <v>45</v>
      </c>
      <c r="E31" t="s">
        <v>21</v>
      </c>
    </row>
    <row r="32" spans="2:16" x14ac:dyDescent="0.25">
      <c r="B32" t="s">
        <v>76</v>
      </c>
      <c r="C32" t="s">
        <v>77</v>
      </c>
      <c r="D32" t="s">
        <v>78</v>
      </c>
      <c r="E32" t="s">
        <v>21</v>
      </c>
      <c r="G32" t="s">
        <v>21</v>
      </c>
      <c r="I32" t="s">
        <v>21</v>
      </c>
      <c r="K32" t="s">
        <v>21</v>
      </c>
      <c r="M32" t="s">
        <v>21</v>
      </c>
      <c r="O32" t="s">
        <v>21</v>
      </c>
    </row>
    <row r="33" spans="2:16" x14ac:dyDescent="0.25">
      <c r="B33" t="s">
        <v>79</v>
      </c>
      <c r="C33" t="s">
        <v>41</v>
      </c>
      <c r="D33" t="s">
        <v>45</v>
      </c>
      <c r="E33" t="s">
        <v>21</v>
      </c>
    </row>
    <row r="34" spans="2:16" x14ac:dyDescent="0.25">
      <c r="B34" t="s">
        <v>80</v>
      </c>
    </row>
    <row r="35" spans="2:16" x14ac:dyDescent="0.25">
      <c r="B35" t="s">
        <v>81</v>
      </c>
      <c r="C35" t="s">
        <v>63</v>
      </c>
      <c r="D35" t="s">
        <v>82</v>
      </c>
      <c r="E35" t="s">
        <v>21</v>
      </c>
      <c r="F35" t="s">
        <v>21</v>
      </c>
      <c r="G35" t="s">
        <v>21</v>
      </c>
      <c r="H35" t="s">
        <v>21</v>
      </c>
      <c r="I35" t="s">
        <v>21</v>
      </c>
      <c r="J35" t="s">
        <v>21</v>
      </c>
      <c r="K35" t="s">
        <v>21</v>
      </c>
      <c r="L35" t="s">
        <v>21</v>
      </c>
      <c r="M35" t="s">
        <v>21</v>
      </c>
      <c r="N35" t="s">
        <v>21</v>
      </c>
      <c r="O35" t="s">
        <v>21</v>
      </c>
      <c r="P35" t="s">
        <v>21</v>
      </c>
    </row>
    <row r="36" spans="2:16" x14ac:dyDescent="0.25">
      <c r="B36" t="s">
        <v>83</v>
      </c>
      <c r="C36" t="s">
        <v>41</v>
      </c>
      <c r="D36" t="s">
        <v>45</v>
      </c>
      <c r="E36" t="s">
        <v>21</v>
      </c>
    </row>
    <row r="37" spans="2:16" x14ac:dyDescent="0.25">
      <c r="B37" t="s">
        <v>84</v>
      </c>
    </row>
    <row r="38" spans="2:16" x14ac:dyDescent="0.25">
      <c r="B38" t="s">
        <v>85</v>
      </c>
      <c r="C38" t="s">
        <v>54</v>
      </c>
      <c r="D38" t="s">
        <v>86</v>
      </c>
      <c r="F38" t="s">
        <v>21</v>
      </c>
    </row>
    <row r="39" spans="2:16" x14ac:dyDescent="0.25">
      <c r="B39" t="s">
        <v>87</v>
      </c>
      <c r="C39" t="s">
        <v>54</v>
      </c>
      <c r="D39" t="s">
        <v>42</v>
      </c>
      <c r="G39" t="s">
        <v>21</v>
      </c>
    </row>
    <row r="40" spans="2:16" x14ac:dyDescent="0.25">
      <c r="B40" t="s">
        <v>88</v>
      </c>
      <c r="C40" t="s">
        <v>54</v>
      </c>
      <c r="D40" t="s">
        <v>42</v>
      </c>
      <c r="G40" t="s">
        <v>21</v>
      </c>
    </row>
    <row r="41" spans="2:16" x14ac:dyDescent="0.25">
      <c r="B41" t="s">
        <v>89</v>
      </c>
      <c r="C41" t="s">
        <v>90</v>
      </c>
      <c r="D41" t="s">
        <v>42</v>
      </c>
      <c r="H41" t="s">
        <v>21</v>
      </c>
      <c r="I41" t="s">
        <v>21</v>
      </c>
      <c r="J41" t="s">
        <v>21</v>
      </c>
      <c r="K41" t="s">
        <v>21</v>
      </c>
      <c r="L41" t="s">
        <v>21</v>
      </c>
      <c r="M41" t="s">
        <v>21</v>
      </c>
      <c r="N41" t="s">
        <v>21</v>
      </c>
    </row>
    <row r="42" spans="2:16" x14ac:dyDescent="0.25">
      <c r="B42" t="s">
        <v>22</v>
      </c>
    </row>
    <row r="43" spans="2:16" x14ac:dyDescent="0.25">
      <c r="B43" t="s">
        <v>91</v>
      </c>
      <c r="C43" t="s">
        <v>68</v>
      </c>
      <c r="D43" t="s">
        <v>50</v>
      </c>
      <c r="E43" t="s">
        <v>21</v>
      </c>
      <c r="J43" t="s">
        <v>21</v>
      </c>
    </row>
    <row r="44" spans="2:16" x14ac:dyDescent="0.25">
      <c r="B44" t="s">
        <v>92</v>
      </c>
      <c r="C44" t="s">
        <v>93</v>
      </c>
      <c r="D44" t="s">
        <v>94</v>
      </c>
      <c r="E44" t="s">
        <v>21</v>
      </c>
      <c r="H44" t="s">
        <v>21</v>
      </c>
      <c r="K44" t="s">
        <v>21</v>
      </c>
      <c r="N44" t="s">
        <v>21</v>
      </c>
    </row>
    <row r="45" spans="2:16" x14ac:dyDescent="0.25">
      <c r="B45" t="s">
        <v>95</v>
      </c>
    </row>
    <row r="46" spans="2:16" x14ac:dyDescent="0.25">
      <c r="B46" t="s">
        <v>96</v>
      </c>
      <c r="C46" t="s">
        <v>97</v>
      </c>
      <c r="D46" t="s">
        <v>50</v>
      </c>
      <c r="N46" t="s">
        <v>21</v>
      </c>
    </row>
    <row r="47" spans="2:16" x14ac:dyDescent="0.25">
      <c r="B47" t="s">
        <v>98</v>
      </c>
      <c r="C47" t="s">
        <v>54</v>
      </c>
      <c r="D47" t="s">
        <v>42</v>
      </c>
      <c r="G47" t="s">
        <v>21</v>
      </c>
    </row>
    <row r="48" spans="2:16" x14ac:dyDescent="0.25">
      <c r="B48" t="s">
        <v>99</v>
      </c>
      <c r="C48" t="s">
        <v>54</v>
      </c>
      <c r="D48" t="s">
        <v>42</v>
      </c>
      <c r="G48" t="s">
        <v>21</v>
      </c>
    </row>
    <row r="49" spans="2:14" x14ac:dyDescent="0.25">
      <c r="B49" t="s">
        <v>100</v>
      </c>
    </row>
    <row r="50" spans="2:14" x14ac:dyDescent="0.25">
      <c r="B50" t="s">
        <v>101</v>
      </c>
      <c r="C50" t="s">
        <v>102</v>
      </c>
      <c r="D50" t="s">
        <v>50</v>
      </c>
    </row>
    <row r="51" spans="2:14" x14ac:dyDescent="0.25">
      <c r="B51" t="s">
        <v>103</v>
      </c>
    </row>
    <row r="52" spans="2:14" x14ac:dyDescent="0.25">
      <c r="B52" t="s">
        <v>104</v>
      </c>
      <c r="C52" t="s">
        <v>97</v>
      </c>
      <c r="D52" t="s">
        <v>105</v>
      </c>
      <c r="N52" t="s">
        <v>21</v>
      </c>
    </row>
    <row r="53" spans="2:14" x14ac:dyDescent="0.25">
      <c r="B53" t="s">
        <v>106</v>
      </c>
      <c r="C53" t="s">
        <v>97</v>
      </c>
      <c r="D53" t="s">
        <v>105</v>
      </c>
      <c r="N53" t="s">
        <v>21</v>
      </c>
    </row>
    <row r="54" spans="2:14" x14ac:dyDescent="0.25">
      <c r="B54" t="s">
        <v>107</v>
      </c>
      <c r="C54" t="s">
        <v>41</v>
      </c>
      <c r="D54" t="s">
        <v>105</v>
      </c>
      <c r="N54" t="s">
        <v>21</v>
      </c>
    </row>
    <row r="55" spans="2:14" x14ac:dyDescent="0.25">
      <c r="B55" t="s">
        <v>108</v>
      </c>
      <c r="C55" t="s">
        <v>41</v>
      </c>
      <c r="D55" t="s">
        <v>105</v>
      </c>
      <c r="N55" t="s">
        <v>21</v>
      </c>
    </row>
    <row r="56" spans="2:14" x14ac:dyDescent="0.25">
      <c r="B56" t="s">
        <v>109</v>
      </c>
      <c r="C56" t="s">
        <v>54</v>
      </c>
      <c r="D56" t="s">
        <v>50</v>
      </c>
      <c r="M56" t="s">
        <v>21</v>
      </c>
    </row>
    <row r="57" spans="2:14" x14ac:dyDescent="0.25">
      <c r="B57" t="s">
        <v>110</v>
      </c>
    </row>
    <row r="58" spans="2:14" x14ac:dyDescent="0.25">
      <c r="B58" t="s">
        <v>111</v>
      </c>
      <c r="C58" t="s">
        <v>41</v>
      </c>
      <c r="D58" t="s">
        <v>50</v>
      </c>
      <c r="M58" t="s">
        <v>21</v>
      </c>
    </row>
    <row r="59" spans="2:14" x14ac:dyDescent="0.25">
      <c r="B59" t="s">
        <v>112</v>
      </c>
      <c r="C59" t="s">
        <v>41</v>
      </c>
      <c r="D59" t="s">
        <v>113</v>
      </c>
      <c r="M59" t="s">
        <v>21</v>
      </c>
    </row>
    <row r="60" spans="2:14" x14ac:dyDescent="0.25">
      <c r="B60" t="s">
        <v>114</v>
      </c>
    </row>
    <row r="61" spans="2:14" x14ac:dyDescent="0.25">
      <c r="B61" t="s">
        <v>115</v>
      </c>
      <c r="C61" t="s">
        <v>54</v>
      </c>
      <c r="D61" t="s">
        <v>116</v>
      </c>
      <c r="F61" t="s">
        <v>21</v>
      </c>
    </row>
    <row r="62" spans="2:14" x14ac:dyDescent="0.25">
      <c r="B62" t="s">
        <v>117</v>
      </c>
      <c r="C62" t="s">
        <v>68</v>
      </c>
      <c r="D62" t="s">
        <v>42</v>
      </c>
      <c r="E62" t="s">
        <v>21</v>
      </c>
      <c r="J62" t="s">
        <v>21</v>
      </c>
    </row>
    <row r="63" spans="2:14" x14ac:dyDescent="0.25">
      <c r="B63" t="s">
        <v>118</v>
      </c>
      <c r="C63" t="s">
        <v>68</v>
      </c>
      <c r="D63" t="s">
        <v>50</v>
      </c>
      <c r="E63" t="s">
        <v>21</v>
      </c>
      <c r="J63" t="s">
        <v>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383384CCC46014EAAA1E4B395EE2491" ma:contentTypeVersion="6" ma:contentTypeDescription="Crear nuevo documento." ma:contentTypeScope="" ma:versionID="ba785c58bda7873ee5fb5d9336a69a82">
  <xsd:schema xmlns:xsd="http://www.w3.org/2001/XMLSchema" xmlns:xs="http://www.w3.org/2001/XMLSchema" xmlns:p="http://schemas.microsoft.com/office/2006/metadata/properties" xmlns:ns2="1c8256e8-287b-4794-8302-3f1ed8a7baa9" xmlns:ns3="4c72986a-f5ba-49bd-9b7b-b0e483a5d549" targetNamespace="http://schemas.microsoft.com/office/2006/metadata/properties" ma:root="true" ma:fieldsID="3325270d6d8d9f84f2e23e3393607c68" ns2:_="" ns3:_="">
    <xsd:import namespace="1c8256e8-287b-4794-8302-3f1ed8a7baa9"/>
    <xsd:import namespace="4c72986a-f5ba-49bd-9b7b-b0e483a5d54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8256e8-287b-4794-8302-3f1ed8a7baa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72986a-f5ba-49bd-9b7b-b0e483a5d5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84AEA07-E726-4C80-B440-3C1142A369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c8256e8-287b-4794-8302-3f1ed8a7baa9"/>
    <ds:schemaRef ds:uri="4c72986a-f5ba-49bd-9b7b-b0e483a5d5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115EACD-9872-4C9E-9E25-03CD10FDF3F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DB73AA6-73B0-4EFA-8EFF-55F6FB08DBD2}">
  <ds:schemaRefs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purl.org/dc/elements/1.1/"/>
    <ds:schemaRef ds:uri="4c72986a-f5ba-49bd-9b7b-b0e483a5d549"/>
    <ds:schemaRef ds:uri="1c8256e8-287b-4794-8302-3f1ed8a7baa9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FICHA DE CONTRATOS MANTENCIÓN</vt:lpstr>
      <vt:lpstr>COSTO_ANUAL_MANTENIMIENTO</vt:lpstr>
      <vt:lpstr>PROGRAMA DE MANTENCIÓN</vt:lpstr>
      <vt:lpstr>FICHA_MANTENIMIENTO_CORRECTIVO</vt:lpstr>
      <vt:lpstr>PROGRAMA_MANTENCIÓN_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Leontic</dc:creator>
  <cp:lastModifiedBy>Mario Carreño Urbina</cp:lastModifiedBy>
  <cp:lastPrinted>2018-10-08T19:44:13Z</cp:lastPrinted>
  <dcterms:created xsi:type="dcterms:W3CDTF">2017-09-15T17:04:29Z</dcterms:created>
  <dcterms:modified xsi:type="dcterms:W3CDTF">2022-05-12T20:23:28Z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0x010100C383384CCC46014EAAA1E4B395EE2491</vt:lpwstr>
  </property>
</Properties>
</file>